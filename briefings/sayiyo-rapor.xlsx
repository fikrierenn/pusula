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v\sqlserver-mcp-server\briefings\"/>
    </mc:Choice>
  </mc:AlternateContent>
  <xr:revisionPtr revIDLastSave="0" documentId="13_ncr:1_{7E2801CA-30D9-4ECC-9157-D878F58775F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Yönetici Özeti" sheetId="1" r:id="rId1"/>
    <sheet name="Gün Gün" sheetId="2" r:id="rId2"/>
  </sheets>
  <definedNames>
    <definedName name="_xlnm._FilterDatabase" localSheetId="1" hidden="1">'Gün Gün'!$A$1:$H$61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G2" i="2"/>
  <c r="H2" i="2"/>
  <c r="F61" i="2"/>
  <c r="D61" i="2"/>
  <c r="C61" i="2"/>
  <c r="H61" i="2" l="1"/>
  <c r="E61" i="2"/>
  <c r="G61" i="2"/>
</calcChain>
</file>

<file path=xl/sharedStrings.xml><?xml version="1.0" encoding="utf-8"?>
<sst xmlns="http://schemas.openxmlformats.org/spreadsheetml/2006/main" count="151" uniqueCount="99">
  <si>
    <t>BKM KİTAP — FSM KAPI SAYICI RAPORU</t>
  </si>
  <si>
    <t>Dönem: 2026-04-08 … 2026-06-07  ·  60 gün  ·  Mağaza: FSM (Bursa Nilüfer)</t>
  </si>
  <si>
    <t>Toplam Giriş (ziyaretçi)</t>
  </si>
  <si>
    <t>Toplam Fiş</t>
  </si>
  <si>
    <t>Ortalama Dönüşüm</t>
  </si>
  <si>
    <t>Toplam Ciro</t>
  </si>
  <si>
    <t>Ortalama ₺/Ziyaret</t>
  </si>
  <si>
    <t>114.436</t>
  </si>
  <si>
    <t>58.866</t>
  </si>
  <si>
    <t>%51,5</t>
  </si>
  <si>
    <t>31.824.510 ₺</t>
  </si>
  <si>
    <t>278 ₺</t>
  </si>
  <si>
    <t>BULGULAR</t>
  </si>
  <si>
    <t>• Dönüşüm: ortalama %51,5, medyan %51,1, bant %46,4–%60,4 (giren her 2 kişiden ~1'i alışveriş yaptı — sağlıklı),</t>
  </si>
  <si>
    <t>• En iyi gün: 2026-04-08 Çar %60,4  ·  En kötü: 2026-05-12 Sal %46,4 (incele — trafik normal, dönüşüm düşük = operasyon),</t>
  </si>
  <si>
    <t>• FIRSAT: kötü günler ortalamaya çekilse → günlük ~8.340 ₺. YILLIK ~3.044.037 ₺ ek ciro (sadece tutarlılıkla).</t>
  </si>
  <si>
    <t>• İşgücü: ortalama 26 personel/gün, yük (ziyaretçi/saat) 9,8. SPLH 2.736 ₺/saat.</t>
  </si>
  <si>
    <t>• Personel trafiğe ayarlanıyor (hafta sonu kadro artıyor) ama özel günlerde takviye eksik kalabiliyor.</t>
  </si>
  <si>
    <t>ÖNERİLER</t>
  </si>
  <si>
    <t>• İzin/off günleri → Çarşamba + Salı (en düşük trafik; Salı zaten fazla kadrolu).</t>
  </si>
  <si>
    <t>• Cumartesi + Pazar → tam kadro, izin yok (en yüksek trafik + verim).</t>
  </si>
  <si>
    <t>• Özel günlere (bayram vb.) personel takviyesi — pik trafik kadrolanmazsa satış kaçar.</t>
  </si>
  <si>
    <t>• Düşük-dönüşüm günleri için kök-neden takibi (personel/stok/deneyim) — her puan = para.</t>
  </si>
  <si>
    <t>Not: Kapı sayıcı şu an sadece FSM'de. Özlüce + İst.Yolu'na yayılırsa fırsat 3 mağazaya katlanır.</t>
  </si>
  <si>
    <t>Tarih</t>
  </si>
  <si>
    <t>Gün</t>
  </si>
  <si>
    <t>Giriş</t>
  </si>
  <si>
    <t>Fiş</t>
  </si>
  <si>
    <t>Dönüşüm %</t>
  </si>
  <si>
    <t>Net Ciro ₺</t>
  </si>
  <si>
    <t>₺/Ziyaret</t>
  </si>
  <si>
    <t>Çar</t>
  </si>
  <si>
    <t>2026-04-09</t>
  </si>
  <si>
    <t>Per</t>
  </si>
  <si>
    <t>2026-04-10</t>
  </si>
  <si>
    <t>Cum</t>
  </si>
  <si>
    <t>2026-04-11</t>
  </si>
  <si>
    <t>Cmt</t>
  </si>
  <si>
    <t>2026-04-12</t>
  </si>
  <si>
    <t>Pzr</t>
  </si>
  <si>
    <t>2026-04-13</t>
  </si>
  <si>
    <t>Pzt</t>
  </si>
  <si>
    <t>2026-04-14</t>
  </si>
  <si>
    <t>Sal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</si>
  <si>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</si>
  <si>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</si>
  <si>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</si>
  <si>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</si>
  <si>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</si>
  <si>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</si>
  <si>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</si>
  <si>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</si>
  <si>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</si>
  <si>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</si>
  <si>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</si>
  <si>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</si>
  <si>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</si>
  <si>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</si>
  <si>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</si>
  <si>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</si>
  <si>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</si>
  <si>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</si>
  <si>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</si>
  <si>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</si>
  <si>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</si>
  <si>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</si>
  <si>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</si>
  <si>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</si>
  <si>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</si>
  <si>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</si>
  <si>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</si>
  <si>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</si>
  <si>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</si>
  <si>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</si>
  <si>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</si>
  <si>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</si>
  <si>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</si>
  <si>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</si>
  <si>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</si>
  <si>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</si>
  <si>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</si>
  <si>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</si>
  <si>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</si>
  <si>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</si>
  <si>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</si>
  <si>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</si>
  <si>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</si>
  <si>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</si>
  <si>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</si>
  <si>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</si>
  <si>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</si>
  <si>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</si>
  <si>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</si>
  <si>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</si>
  <si>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</si>
  <si>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</si>
  <si>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</si>
  <si>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TOPLAM/ORT</t>
  </si>
  <si>
    <t>Sepet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</si>
</sst>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6"/>
      <color rgb="FFE30622"/>
      <name val="Calibri"/>
    </font>
    <font>
      <i/>
      <sz val="11"/>
      <color rgb="FF64748B"/>
      <name val="Calibri"/>
    </font>
    <font>
      <sz val="9"/>
      <color rgb="FF64748B"/>
      <name val="Calibri"/>
    </font>
    <font>
      <b/>
      <sz val="14"/>
      <color rgb="FFE30622"/>
      <name val="Calibri"/>
    </font>
    <font>
      <sz val="10"/>
      <name val="Calibri"/>
    </font>
    <font>
      <b/>
      <sz val="12"/>
      <color rgb="FFE30622"/>
      <name val="Calibri"/>
    </font>
    <font>
      <i/>
      <sz val="9"/>
      <color rgb="FF64748B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30622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164" fontId="0" fillId="0" borderId="1" xfId="0" applyNumberFormat="1" applyBorder="1"/>
    <xf numFmtId="0" fontId="0" fillId="3" borderId="1" xfId="0" applyFill="1" applyBorder="1"/>
    <xf numFmtId="3" fontId="0" fillId="3" borderId="1" xfId="0" applyNumberFormat="1" applyFill="1" applyBorder="1"/>
    <xf numFmtId="164" fontId="0" fillId="3" borderId="1" xfId="0" applyNumberFormat="1" applyFill="1" applyBorder="1"/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tr-TR"/>
              <a:t>Günlük Dönüşüm Oranı (%)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'Gün Gün'!$E$1</c:f>
              <c:strCache>
                <c:ptCount val="1"/>
                <c:pt idx="0">
                  <c:v>Dönüşüm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'Gün Gün'!$A$2:$A$60</c:f>
              <c:strCache>
                <c:ptCount val="59"/>
                <c:pt idx="0">
                  <c:v>2026-04-09</c:v>
                </c:pt>
                <c:pt idx="1">
                  <c:v>2026-04-10</c:v>
                </c:pt>
                <c:pt idx="2">
                  <c:v>2026-04-11</c:v>
                </c:pt>
                <c:pt idx="3">
                  <c:v>2026-04-12</c:v>
                </c:pt>
                <c:pt idx="4">
                  <c:v>2026-04-13</c:v>
                </c:pt>
                <c:pt idx="5">
                  <c:v>2026-04-14</c:v>
                </c:pt>
                <c:pt idx="6">
                  <c:v>2026-04-15</c:v>
                </c:pt>
                <c:pt idx="7">
                  <c:v>2026-04-16</c:v>
                </c:pt>
                <c:pt idx="8">
                  <c:v>2026-04-17</c:v>
                </c:pt>
                <c:pt idx="9">
                  <c:v>2026-04-18</c:v>
                </c:pt>
                <c:pt idx="10">
                  <c:v>2026-04-19</c:v>
                </c:pt>
                <c:pt idx="11">
                  <c:v>2026-04-20</c:v>
                </c:pt>
                <c:pt idx="12">
                  <c:v>2026-04-21</c:v>
                </c:pt>
                <c:pt idx="13">
                  <c:v>2026-04-22</c:v>
                </c:pt>
                <c:pt idx="14">
                  <c:v>2026-04-23</c:v>
                </c:pt>
                <c:pt idx="15">
                  <c:v>2026-04-24</c:v>
                </c:pt>
                <c:pt idx="16">
                  <c:v>2026-04-25</c:v>
                </c:pt>
                <c:pt idx="17">
                  <c:v>2026-04-26</c:v>
                </c:pt>
                <c:pt idx="18">
                  <c:v>2026-04-27</c:v>
                </c:pt>
                <c:pt idx="19">
                  <c:v>2026-04-28</c:v>
                </c:pt>
                <c:pt idx="20">
                  <c:v>2026-04-29</c:v>
                </c:pt>
                <c:pt idx="21">
                  <c:v>2026-04-30</c:v>
                </c:pt>
                <c:pt idx="22">
                  <c:v>2026-05-01</c:v>
                </c:pt>
                <c:pt idx="23">
                  <c:v>2026-05-02</c:v>
                </c:pt>
                <c:pt idx="24">
                  <c:v>2026-05-03</c:v>
                </c:pt>
                <c:pt idx="25">
                  <c:v>2026-05-04</c:v>
                </c:pt>
                <c:pt idx="26">
                  <c:v>2026-05-05</c:v>
                </c:pt>
                <c:pt idx="27">
                  <c:v>2026-05-06</c:v>
                </c:pt>
                <c:pt idx="28">
                  <c:v>2026-05-07</c:v>
                </c:pt>
                <c:pt idx="29">
                  <c:v>2026-05-08</c:v>
                </c:pt>
                <c:pt idx="30">
                  <c:v>2026-05-09</c:v>
                </c:pt>
                <c:pt idx="31">
                  <c:v>2026-05-10</c:v>
                </c:pt>
                <c:pt idx="32">
                  <c:v>2026-05-11</c:v>
                </c:pt>
                <c:pt idx="33">
                  <c:v>2026-05-12</c:v>
                </c:pt>
                <c:pt idx="34">
                  <c:v>2026-05-13</c:v>
                </c:pt>
                <c:pt idx="35">
                  <c:v>2026-05-14</c:v>
                </c:pt>
                <c:pt idx="36">
                  <c:v>2026-05-15</c:v>
                </c:pt>
                <c:pt idx="37">
                  <c:v>2026-05-16</c:v>
                </c:pt>
                <c:pt idx="38">
                  <c:v>2026-05-17</c:v>
                </c:pt>
                <c:pt idx="39">
                  <c:v>2026-05-18</c:v>
                </c:pt>
                <c:pt idx="40">
                  <c:v>2026-05-19</c:v>
                </c:pt>
                <c:pt idx="41">
                  <c:v>2026-05-20</c:v>
                </c:pt>
                <c:pt idx="42">
                  <c:v>2026-05-21</c:v>
                </c:pt>
                <c:pt idx="43">
                  <c:v>2026-05-22</c:v>
                </c:pt>
                <c:pt idx="44">
                  <c:v>2026-05-23</c:v>
                </c:pt>
                <c:pt idx="45">
                  <c:v>2026-05-24</c:v>
                </c:pt>
                <c:pt idx="46">
                  <c:v>2026-05-25</c:v>
                </c:pt>
                <c:pt idx="47">
                  <c:v>2026-05-26</c:v>
                </c:pt>
                <c:pt idx="48">
                  <c:v>2026-05-28</c:v>
                </c:pt>
                <c:pt idx="49">
                  <c:v>2026-05-29</c:v>
                </c:pt>
                <c:pt idx="50">
                  <c:v>2026-05-30</c:v>
                </c:pt>
                <c:pt idx="51">
                  <c:v>2026-05-31</c:v>
                </c:pt>
                <c:pt idx="52">
                  <c:v>2026-06-01</c:v>
                </c:pt>
                <c:pt idx="53">
                  <c:v>2026-06-02</c:v>
                </c:pt>
                <c:pt idx="54">
                  <c:v>2026-06-03</c:v>
                </c:pt>
                <c:pt idx="55">
                  <c:v>2026-06-04</c:v>
                </c:pt>
                <c:pt idx="56">
                  <c:v>2026-06-05</c:v>
                </c:pt>
                <c:pt idx="57">
                  <c:v>2026-06-06</c:v>
                </c:pt>
                <c:pt idx="58">
                  <c:v>2026-06-07</c:v>
                </c:pt>
              </c:strCache>
            </c:strRef>
          </c:cat>
          <c:val>
            <c:numRef>
              <c:f>'Gün Gün'!$E$2:$E$60</c:f>
              <c:numCache>
                <c:formatCode>0.0</c:formatCode>
                <c:ptCount val="59"/>
                <c:pt idx="0">
                  <c:v>51.4</c:v>
                </c:pt>
                <c:pt idx="1">
                  <c:v>49.5</c:v>
                </c:pt>
                <c:pt idx="2">
                  <c:v>51.4</c:v>
                </c:pt>
                <c:pt idx="3">
                  <c:v>48.5</c:v>
                </c:pt>
                <c:pt idx="4">
                  <c:v>48.4</c:v>
                </c:pt>
                <c:pt idx="5">
                  <c:v>51.8</c:v>
                </c:pt>
                <c:pt idx="6">
                  <c:v>52.3</c:v>
                </c:pt>
                <c:pt idx="7">
                  <c:v>49.6</c:v>
                </c:pt>
                <c:pt idx="8">
                  <c:v>52.1</c:v>
                </c:pt>
                <c:pt idx="9">
                  <c:v>51.1</c:v>
                </c:pt>
                <c:pt idx="10">
                  <c:v>50.6</c:v>
                </c:pt>
                <c:pt idx="11">
                  <c:v>50.3</c:v>
                </c:pt>
                <c:pt idx="12">
                  <c:v>47</c:v>
                </c:pt>
                <c:pt idx="13">
                  <c:v>50.6</c:v>
                </c:pt>
                <c:pt idx="14">
                  <c:v>51.7</c:v>
                </c:pt>
                <c:pt idx="15">
                  <c:v>48.9</c:v>
                </c:pt>
                <c:pt idx="16">
                  <c:v>51.7</c:v>
                </c:pt>
                <c:pt idx="17">
                  <c:v>52.3</c:v>
                </c:pt>
                <c:pt idx="18">
                  <c:v>47</c:v>
                </c:pt>
                <c:pt idx="19">
                  <c:v>49.4</c:v>
                </c:pt>
                <c:pt idx="20">
                  <c:v>49.7</c:v>
                </c:pt>
                <c:pt idx="21">
                  <c:v>47</c:v>
                </c:pt>
                <c:pt idx="22">
                  <c:v>52.9</c:v>
                </c:pt>
                <c:pt idx="23">
                  <c:v>49.2</c:v>
                </c:pt>
                <c:pt idx="24">
                  <c:v>50.8</c:v>
                </c:pt>
                <c:pt idx="25">
                  <c:v>49.6</c:v>
                </c:pt>
                <c:pt idx="26">
                  <c:v>51.1</c:v>
                </c:pt>
                <c:pt idx="27">
                  <c:v>57.4</c:v>
                </c:pt>
                <c:pt idx="28">
                  <c:v>56.6</c:v>
                </c:pt>
                <c:pt idx="29">
                  <c:v>55.5</c:v>
                </c:pt>
                <c:pt idx="30">
                  <c:v>54.3</c:v>
                </c:pt>
                <c:pt idx="31">
                  <c:v>53.6</c:v>
                </c:pt>
                <c:pt idx="32">
                  <c:v>52.8</c:v>
                </c:pt>
                <c:pt idx="33">
                  <c:v>46.4</c:v>
                </c:pt>
                <c:pt idx="34">
                  <c:v>48.9</c:v>
                </c:pt>
                <c:pt idx="35">
                  <c:v>49.9</c:v>
                </c:pt>
                <c:pt idx="36">
                  <c:v>51</c:v>
                </c:pt>
                <c:pt idx="37">
                  <c:v>50.5</c:v>
                </c:pt>
                <c:pt idx="38">
                  <c:v>49.3</c:v>
                </c:pt>
                <c:pt idx="39">
                  <c:v>52.6</c:v>
                </c:pt>
                <c:pt idx="40">
                  <c:v>51.1</c:v>
                </c:pt>
                <c:pt idx="41">
                  <c:v>50.6</c:v>
                </c:pt>
                <c:pt idx="42">
                  <c:v>55.9</c:v>
                </c:pt>
                <c:pt idx="43">
                  <c:v>49.7</c:v>
                </c:pt>
                <c:pt idx="44">
                  <c:v>52.6</c:v>
                </c:pt>
                <c:pt idx="45">
                  <c:v>50.3</c:v>
                </c:pt>
                <c:pt idx="46">
                  <c:v>53.6</c:v>
                </c:pt>
                <c:pt idx="47">
                  <c:v>52.8</c:v>
                </c:pt>
                <c:pt idx="48">
                  <c:v>56.1</c:v>
                </c:pt>
                <c:pt idx="49">
                  <c:v>56.8</c:v>
                </c:pt>
                <c:pt idx="50">
                  <c:v>54.4</c:v>
                </c:pt>
                <c:pt idx="51">
                  <c:v>53.6</c:v>
                </c:pt>
                <c:pt idx="52">
                  <c:v>51.3</c:v>
                </c:pt>
                <c:pt idx="53">
                  <c:v>55</c:v>
                </c:pt>
                <c:pt idx="54">
                  <c:v>51.4</c:v>
                </c:pt>
                <c:pt idx="55">
                  <c:v>47.3</c:v>
                </c:pt>
                <c:pt idx="56">
                  <c:v>47.7</c:v>
                </c:pt>
                <c:pt idx="57">
                  <c:v>50.9</c:v>
                </c:pt>
                <c:pt idx="58">
                  <c:v>53.5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F-4F8E-ADD2-A2979D759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%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tr-TR"/>
              <a:t>Günlük Giriş (trafik)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'Gün Gün'!$C$1</c:f>
              <c:strCache>
                <c:ptCount val="1"/>
                <c:pt idx="0">
                  <c:v>Giriş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'Gün Gün'!$A$2:$A$60</c:f>
              <c:strCache>
                <c:ptCount val="59"/>
                <c:pt idx="0">
                  <c:v>2026-04-09</c:v>
                </c:pt>
                <c:pt idx="1">
                  <c:v>2026-04-10</c:v>
                </c:pt>
                <c:pt idx="2">
                  <c:v>2026-04-11</c:v>
                </c:pt>
                <c:pt idx="3">
                  <c:v>2026-04-12</c:v>
                </c:pt>
                <c:pt idx="4">
                  <c:v>2026-04-13</c:v>
                </c:pt>
                <c:pt idx="5">
                  <c:v>2026-04-14</c:v>
                </c:pt>
                <c:pt idx="6">
                  <c:v>2026-04-15</c:v>
                </c:pt>
                <c:pt idx="7">
                  <c:v>2026-04-16</c:v>
                </c:pt>
                <c:pt idx="8">
                  <c:v>2026-04-17</c:v>
                </c:pt>
                <c:pt idx="9">
                  <c:v>2026-04-18</c:v>
                </c:pt>
                <c:pt idx="10">
                  <c:v>2026-04-19</c:v>
                </c:pt>
                <c:pt idx="11">
                  <c:v>2026-04-20</c:v>
                </c:pt>
                <c:pt idx="12">
                  <c:v>2026-04-21</c:v>
                </c:pt>
                <c:pt idx="13">
                  <c:v>2026-04-22</c:v>
                </c:pt>
                <c:pt idx="14">
                  <c:v>2026-04-23</c:v>
                </c:pt>
                <c:pt idx="15">
                  <c:v>2026-04-24</c:v>
                </c:pt>
                <c:pt idx="16">
                  <c:v>2026-04-25</c:v>
                </c:pt>
                <c:pt idx="17">
                  <c:v>2026-04-26</c:v>
                </c:pt>
                <c:pt idx="18">
                  <c:v>2026-04-27</c:v>
                </c:pt>
                <c:pt idx="19">
                  <c:v>2026-04-28</c:v>
                </c:pt>
                <c:pt idx="20">
                  <c:v>2026-04-29</c:v>
                </c:pt>
                <c:pt idx="21">
                  <c:v>2026-04-30</c:v>
                </c:pt>
                <c:pt idx="22">
                  <c:v>2026-05-01</c:v>
                </c:pt>
                <c:pt idx="23">
                  <c:v>2026-05-02</c:v>
                </c:pt>
                <c:pt idx="24">
                  <c:v>2026-05-03</c:v>
                </c:pt>
                <c:pt idx="25">
                  <c:v>2026-05-04</c:v>
                </c:pt>
                <c:pt idx="26">
                  <c:v>2026-05-05</c:v>
                </c:pt>
                <c:pt idx="27">
                  <c:v>2026-05-06</c:v>
                </c:pt>
                <c:pt idx="28">
                  <c:v>2026-05-07</c:v>
                </c:pt>
                <c:pt idx="29">
                  <c:v>2026-05-08</c:v>
                </c:pt>
                <c:pt idx="30">
                  <c:v>2026-05-09</c:v>
                </c:pt>
                <c:pt idx="31">
                  <c:v>2026-05-10</c:v>
                </c:pt>
                <c:pt idx="32">
                  <c:v>2026-05-11</c:v>
                </c:pt>
                <c:pt idx="33">
                  <c:v>2026-05-12</c:v>
                </c:pt>
                <c:pt idx="34">
                  <c:v>2026-05-13</c:v>
                </c:pt>
                <c:pt idx="35">
                  <c:v>2026-05-14</c:v>
                </c:pt>
                <c:pt idx="36">
                  <c:v>2026-05-15</c:v>
                </c:pt>
                <c:pt idx="37">
                  <c:v>2026-05-16</c:v>
                </c:pt>
                <c:pt idx="38">
                  <c:v>2026-05-17</c:v>
                </c:pt>
                <c:pt idx="39">
                  <c:v>2026-05-18</c:v>
                </c:pt>
                <c:pt idx="40">
                  <c:v>2026-05-19</c:v>
                </c:pt>
                <c:pt idx="41">
                  <c:v>2026-05-20</c:v>
                </c:pt>
                <c:pt idx="42">
                  <c:v>2026-05-21</c:v>
                </c:pt>
                <c:pt idx="43">
                  <c:v>2026-05-22</c:v>
                </c:pt>
                <c:pt idx="44">
                  <c:v>2026-05-23</c:v>
                </c:pt>
                <c:pt idx="45">
                  <c:v>2026-05-24</c:v>
                </c:pt>
                <c:pt idx="46">
                  <c:v>2026-05-25</c:v>
                </c:pt>
                <c:pt idx="47">
                  <c:v>2026-05-26</c:v>
                </c:pt>
                <c:pt idx="48">
                  <c:v>2026-05-28</c:v>
                </c:pt>
                <c:pt idx="49">
                  <c:v>2026-05-29</c:v>
                </c:pt>
                <c:pt idx="50">
                  <c:v>2026-05-30</c:v>
                </c:pt>
                <c:pt idx="51">
                  <c:v>2026-05-31</c:v>
                </c:pt>
                <c:pt idx="52">
                  <c:v>2026-06-01</c:v>
                </c:pt>
                <c:pt idx="53">
                  <c:v>2026-06-02</c:v>
                </c:pt>
                <c:pt idx="54">
                  <c:v>2026-06-03</c:v>
                </c:pt>
                <c:pt idx="55">
                  <c:v>2026-06-04</c:v>
                </c:pt>
                <c:pt idx="56">
                  <c:v>2026-06-05</c:v>
                </c:pt>
                <c:pt idx="57">
                  <c:v>2026-06-06</c:v>
                </c:pt>
                <c:pt idx="58">
                  <c:v>2026-06-07</c:v>
                </c:pt>
              </c:strCache>
            </c:strRef>
          </c:cat>
          <c:val>
            <c:numRef>
              <c:f>'Gün Gün'!$C$2:$C$60</c:f>
              <c:numCache>
                <c:formatCode>#,##0</c:formatCode>
                <c:ptCount val="59"/>
                <c:pt idx="0">
                  <c:v>1669</c:v>
                </c:pt>
                <c:pt idx="1">
                  <c:v>1631</c:v>
                </c:pt>
                <c:pt idx="2">
                  <c:v>2716</c:v>
                </c:pt>
                <c:pt idx="3">
                  <c:v>2568</c:v>
                </c:pt>
                <c:pt idx="4">
                  <c:v>1873</c:v>
                </c:pt>
                <c:pt idx="5">
                  <c:v>1814</c:v>
                </c:pt>
                <c:pt idx="6">
                  <c:v>1986</c:v>
                </c:pt>
                <c:pt idx="7">
                  <c:v>1795</c:v>
                </c:pt>
                <c:pt idx="8">
                  <c:v>1929</c:v>
                </c:pt>
                <c:pt idx="9">
                  <c:v>2565</c:v>
                </c:pt>
                <c:pt idx="10">
                  <c:v>2384</c:v>
                </c:pt>
                <c:pt idx="11">
                  <c:v>1703</c:v>
                </c:pt>
                <c:pt idx="12">
                  <c:v>1796</c:v>
                </c:pt>
                <c:pt idx="13">
                  <c:v>1589</c:v>
                </c:pt>
                <c:pt idx="14">
                  <c:v>2658</c:v>
                </c:pt>
                <c:pt idx="15">
                  <c:v>1793</c:v>
                </c:pt>
                <c:pt idx="16">
                  <c:v>2475</c:v>
                </c:pt>
                <c:pt idx="17">
                  <c:v>2173</c:v>
                </c:pt>
                <c:pt idx="18">
                  <c:v>1804</c:v>
                </c:pt>
                <c:pt idx="19">
                  <c:v>1812</c:v>
                </c:pt>
                <c:pt idx="20">
                  <c:v>1855</c:v>
                </c:pt>
                <c:pt idx="21">
                  <c:v>1702</c:v>
                </c:pt>
                <c:pt idx="22">
                  <c:v>2064</c:v>
                </c:pt>
                <c:pt idx="23">
                  <c:v>2516</c:v>
                </c:pt>
                <c:pt idx="24">
                  <c:v>2347</c:v>
                </c:pt>
                <c:pt idx="25">
                  <c:v>1851</c:v>
                </c:pt>
                <c:pt idx="26">
                  <c:v>2041</c:v>
                </c:pt>
                <c:pt idx="27">
                  <c:v>1674</c:v>
                </c:pt>
                <c:pt idx="28">
                  <c:v>1805</c:v>
                </c:pt>
                <c:pt idx="29">
                  <c:v>1935</c:v>
                </c:pt>
                <c:pt idx="30">
                  <c:v>2978</c:v>
                </c:pt>
                <c:pt idx="31">
                  <c:v>2502</c:v>
                </c:pt>
                <c:pt idx="32">
                  <c:v>1816</c:v>
                </c:pt>
                <c:pt idx="33">
                  <c:v>1823</c:v>
                </c:pt>
                <c:pt idx="34">
                  <c:v>1706</c:v>
                </c:pt>
                <c:pt idx="35">
                  <c:v>1646</c:v>
                </c:pt>
                <c:pt idx="36">
                  <c:v>1691</c:v>
                </c:pt>
                <c:pt idx="37">
                  <c:v>2317</c:v>
                </c:pt>
                <c:pt idx="38">
                  <c:v>2159</c:v>
                </c:pt>
                <c:pt idx="39">
                  <c:v>1733</c:v>
                </c:pt>
                <c:pt idx="40">
                  <c:v>1876</c:v>
                </c:pt>
                <c:pt idx="41">
                  <c:v>1521</c:v>
                </c:pt>
                <c:pt idx="42">
                  <c:v>1702</c:v>
                </c:pt>
                <c:pt idx="43">
                  <c:v>1739</c:v>
                </c:pt>
                <c:pt idx="44">
                  <c:v>2247</c:v>
                </c:pt>
                <c:pt idx="45">
                  <c:v>2031</c:v>
                </c:pt>
                <c:pt idx="46">
                  <c:v>1967</c:v>
                </c:pt>
                <c:pt idx="47">
                  <c:v>1492</c:v>
                </c:pt>
                <c:pt idx="48">
                  <c:v>1048</c:v>
                </c:pt>
                <c:pt idx="49">
                  <c:v>1538</c:v>
                </c:pt>
                <c:pt idx="50">
                  <c:v>1617</c:v>
                </c:pt>
                <c:pt idx="51">
                  <c:v>1631</c:v>
                </c:pt>
                <c:pt idx="52">
                  <c:v>1563</c:v>
                </c:pt>
                <c:pt idx="53">
                  <c:v>1539</c:v>
                </c:pt>
                <c:pt idx="54">
                  <c:v>1423</c:v>
                </c:pt>
                <c:pt idx="55">
                  <c:v>1505</c:v>
                </c:pt>
                <c:pt idx="56">
                  <c:v>1454</c:v>
                </c:pt>
                <c:pt idx="57">
                  <c:v>2191</c:v>
                </c:pt>
                <c:pt idx="58">
                  <c:v>1860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30-4B81-8355-A1E027062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27</xdr:row>
      <xdr:rowOff>0</xdr:rowOff>
    </xdr:from>
    <xdr:ext cx="72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72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selection activeCell="I5" sqref="I5"/>
    </sheetView>
  </sheetViews>
  <sheetFormatPr defaultRowHeight="14.4" x14ac:dyDescent="0.3"/>
  <cols>
    <col min="1" max="1" width="30" customWidth="1"/>
    <col min="2" max="10" width="16" customWidth="1"/>
  </cols>
  <sheetData>
    <row r="1" spans="1:9" ht="21" x14ac:dyDescent="0.4">
      <c r="A1" s="1" t="s">
        <v>0</v>
      </c>
    </row>
    <row r="2" spans="1:9" x14ac:dyDescent="0.3">
      <c r="A2" s="2" t="s">
        <v>1</v>
      </c>
    </row>
    <row r="4" spans="1:9" x14ac:dyDescent="0.3">
      <c r="A4" s="3" t="s">
        <v>2</v>
      </c>
      <c r="C4" s="3" t="s">
        <v>3</v>
      </c>
      <c r="E4" s="3" t="s">
        <v>4</v>
      </c>
      <c r="G4" s="3" t="s">
        <v>5</v>
      </c>
      <c r="I4" s="3" t="s">
        <v>6</v>
      </c>
    </row>
    <row r="5" spans="1:9" ht="18" x14ac:dyDescent="0.35">
      <c r="A5" s="4" t="s">
        <v>7</v>
      </c>
      <c r="C5" s="4" t="s">
        <v>8</v>
      </c>
      <c r="E5" s="4" t="s">
        <v>9</v>
      </c>
      <c r="G5" s="4" t="s">
        <v>10</v>
      </c>
      <c r="I5" s="4" t="s">
        <v>11</v>
      </c>
    </row>
    <row r="7" spans="1:9" x14ac:dyDescent="0.3">
      <c r="A7" s="5"/>
    </row>
    <row r="8" spans="1:9" ht="15.6" x14ac:dyDescent="0.3">
      <c r="A8" s="6" t="s">
        <v>12</v>
      </c>
    </row>
    <row r="9" spans="1:9" x14ac:dyDescent="0.3">
      <c r="A9" s="5" t="s">
        <v>13</v>
      </c>
    </row>
    <row r="10" spans="1:9" x14ac:dyDescent="0.3">
      <c r="A10" s="5" t="s">
        <v>14</v>
      </c>
    </row>
    <row r="11" spans="1:9" x14ac:dyDescent="0.3">
      <c r="A11" s="5" t="s">
        <v>15</v>
      </c>
    </row>
    <row r="12" spans="1:9" x14ac:dyDescent="0.3">
      <c r="A12" s="5" t="s">
        <v>16</v>
      </c>
    </row>
    <row r="13" spans="1:9" x14ac:dyDescent="0.3">
      <c r="A13" s="5" t="s">
        <v>17</v>
      </c>
    </row>
    <row r="14" spans="1:9" x14ac:dyDescent="0.3">
      <c r="A14" s="5"/>
    </row>
    <row r="15" spans="1:9" ht="15.6" x14ac:dyDescent="0.3">
      <c r="A15" s="6" t="s">
        <v>18</v>
      </c>
    </row>
    <row r="16" spans="1:9" x14ac:dyDescent="0.3">
      <c r="A16" s="5" t="s">
        <v>19</v>
      </c>
    </row>
    <row r="17" spans="1:1" x14ac:dyDescent="0.3">
      <c r="A17" s="5" t="s">
        <v>20</v>
      </c>
    </row>
    <row r="18" spans="1:1" x14ac:dyDescent="0.3">
      <c r="A18" s="5" t="s">
        <v>21</v>
      </c>
    </row>
    <row r="19" spans="1:1" x14ac:dyDescent="0.3">
      <c r="A19" s="5" t="s">
        <v>22</v>
      </c>
    </row>
    <row r="20" spans="1:1" x14ac:dyDescent="0.3">
      <c r="A20" s="5"/>
    </row>
    <row r="21" spans="1:1" x14ac:dyDescent="0.3">
      <c r="A21" s="7" t="s"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tabSelected="1" workbookViewId="0">
      <pane ySplit="1" topLeftCell="A2" activePane="bottomLeft" state="frozen"/>
      <selection pane="bottomLeft" activeCell="G16" sqref="G16"/>
    </sheetView>
  </sheetViews>
  <sheetFormatPr defaultRowHeight="14.4" x14ac:dyDescent="0.3"/>
  <cols>
    <col min="1" max="1" width="11" customWidth="1"/>
    <col min="2" max="2" width="6" customWidth="1"/>
    <col min="3" max="3" width="9" customWidth="1"/>
    <col min="4" max="4" width="8" customWidth="1"/>
    <col min="5" max="5" width="11" customWidth="1"/>
    <col min="6" max="6" width="14" customWidth="1"/>
    <col min="7" max="8" width="11" customWidth="1"/>
  </cols>
  <sheetData>
    <row r="1" spans="1:8" x14ac:dyDescent="0.3">
      <c r="A1" s="8" t="s">
        <v>24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98</v>
      </c>
    </row>
    <row r="2" spans="1:8" x14ac:dyDescent="0.3">
      <c r="A2" s="9" t="s">
        <v>32</v>
      </c>
      <c r="B2" s="9" t="s">
        <v>33</v>
      </c>
      <c r="C2" s="10">
        <v>1669</v>
      </c>
      <c r="D2" s="10">
        <v>858</v>
      </c>
      <c r="E2" s="11">
        <v>51.4</v>
      </c>
      <c r="F2" s="10">
        <v>481234</v>
      </c>
      <c r="G2" s="10">
        <f>+F2/C2</f>
        <v>288.33672857998801</v>
      </c>
      <c r="H2" s="10">
        <f>+F2/D2</f>
        <v>560.87878787878788</v>
      </c>
    </row>
    <row r="3" spans="1:8" x14ac:dyDescent="0.3">
      <c r="A3" s="9" t="s">
        <v>34</v>
      </c>
      <c r="B3" s="9" t="s">
        <v>35</v>
      </c>
      <c r="C3" s="10">
        <v>1631</v>
      </c>
      <c r="D3" s="10">
        <v>807</v>
      </c>
      <c r="E3" s="11">
        <v>49.5</v>
      </c>
      <c r="F3" s="10">
        <v>449070</v>
      </c>
      <c r="G3" s="10">
        <v>275</v>
      </c>
      <c r="H3" s="10">
        <f t="shared" ref="H3:H60" si="0">+F3/D3</f>
        <v>556.4684014869888</v>
      </c>
    </row>
    <row r="4" spans="1:8" x14ac:dyDescent="0.3">
      <c r="A4" s="12" t="s">
        <v>36</v>
      </c>
      <c r="B4" s="12" t="s">
        <v>37</v>
      </c>
      <c r="C4" s="13">
        <v>2716</v>
      </c>
      <c r="D4" s="13">
        <v>1397</v>
      </c>
      <c r="E4" s="14">
        <v>51.4</v>
      </c>
      <c r="F4" s="13">
        <v>792929</v>
      </c>
      <c r="G4" s="13">
        <v>292</v>
      </c>
      <c r="H4" s="13">
        <f t="shared" si="0"/>
        <v>567.59413027916969</v>
      </c>
    </row>
    <row r="5" spans="1:8" x14ac:dyDescent="0.3">
      <c r="A5" s="12" t="s">
        <v>38</v>
      </c>
      <c r="B5" s="12" t="s">
        <v>39</v>
      </c>
      <c r="C5" s="13">
        <v>2568</v>
      </c>
      <c r="D5" s="13">
        <v>1245</v>
      </c>
      <c r="E5" s="14">
        <v>48.5</v>
      </c>
      <c r="F5" s="13">
        <v>749472</v>
      </c>
      <c r="G5" s="13">
        <v>292</v>
      </c>
      <c r="H5" s="13">
        <f t="shared" si="0"/>
        <v>601.98554216867467</v>
      </c>
    </row>
    <row r="6" spans="1:8" x14ac:dyDescent="0.3">
      <c r="A6" s="9" t="s">
        <v>40</v>
      </c>
      <c r="B6" s="9" t="s">
        <v>41</v>
      </c>
      <c r="C6" s="10">
        <v>1873</v>
      </c>
      <c r="D6" s="10">
        <v>907</v>
      </c>
      <c r="E6" s="11">
        <v>48.4</v>
      </c>
      <c r="F6" s="10">
        <v>442227</v>
      </c>
      <c r="G6" s="10">
        <v>236</v>
      </c>
      <c r="H6" s="10">
        <f t="shared" si="0"/>
        <v>487.57111356119071</v>
      </c>
    </row>
    <row r="7" spans="1:8" x14ac:dyDescent="0.3">
      <c r="A7" s="9" t="s">
        <v>42</v>
      </c>
      <c r="B7" s="9" t="s">
        <v>43</v>
      </c>
      <c r="C7" s="10">
        <v>1814</v>
      </c>
      <c r="D7" s="10">
        <v>939</v>
      </c>
      <c r="E7" s="11">
        <v>51.8</v>
      </c>
      <c r="F7" s="10">
        <v>486830</v>
      </c>
      <c r="G7" s="10">
        <v>268</v>
      </c>
      <c r="H7" s="10">
        <f t="shared" si="0"/>
        <v>518.45580404685836</v>
      </c>
    </row>
    <row r="8" spans="1:8" x14ac:dyDescent="0.3">
      <c r="A8" s="9" t="s">
        <v>44</v>
      </c>
      <c r="B8" s="9" t="s">
        <v>31</v>
      </c>
      <c r="C8" s="10">
        <v>1986</v>
      </c>
      <c r="D8" s="10">
        <v>1039</v>
      </c>
      <c r="E8" s="11">
        <v>52.3</v>
      </c>
      <c r="F8" s="10">
        <v>496997</v>
      </c>
      <c r="G8" s="10">
        <v>250</v>
      </c>
      <c r="H8" s="10">
        <f t="shared" si="0"/>
        <v>478.3416746871992</v>
      </c>
    </row>
    <row r="9" spans="1:8" x14ac:dyDescent="0.3">
      <c r="A9" s="9" t="s">
        <v>45</v>
      </c>
      <c r="B9" s="9" t="s">
        <v>33</v>
      </c>
      <c r="C9" s="10">
        <v>1795</v>
      </c>
      <c r="D9" s="10">
        <v>890</v>
      </c>
      <c r="E9" s="11">
        <v>49.6</v>
      </c>
      <c r="F9" s="10">
        <v>458572</v>
      </c>
      <c r="G9" s="10">
        <v>255</v>
      </c>
      <c r="H9" s="10">
        <f t="shared" si="0"/>
        <v>515.24943820224723</v>
      </c>
    </row>
    <row r="10" spans="1:8" x14ac:dyDescent="0.3">
      <c r="A10" s="9" t="s">
        <v>46</v>
      </c>
      <c r="B10" s="9" t="s">
        <v>35</v>
      </c>
      <c r="C10" s="10">
        <v>1929</v>
      </c>
      <c r="D10" s="10">
        <v>1005</v>
      </c>
      <c r="E10" s="11">
        <v>52.1</v>
      </c>
      <c r="F10" s="10">
        <v>525692</v>
      </c>
      <c r="G10" s="10">
        <v>273</v>
      </c>
      <c r="H10" s="10">
        <f t="shared" si="0"/>
        <v>523.07661691542285</v>
      </c>
    </row>
    <row r="11" spans="1:8" x14ac:dyDescent="0.3">
      <c r="A11" s="12" t="s">
        <v>47</v>
      </c>
      <c r="B11" s="12" t="s">
        <v>37</v>
      </c>
      <c r="C11" s="13">
        <v>2565</v>
      </c>
      <c r="D11" s="13">
        <v>1310</v>
      </c>
      <c r="E11" s="14">
        <v>51.1</v>
      </c>
      <c r="F11" s="13">
        <v>742371</v>
      </c>
      <c r="G11" s="13">
        <v>289</v>
      </c>
      <c r="H11" s="13">
        <f t="shared" si="0"/>
        <v>566.69541984732825</v>
      </c>
    </row>
    <row r="12" spans="1:8" x14ac:dyDescent="0.3">
      <c r="A12" s="12" t="s">
        <v>48</v>
      </c>
      <c r="B12" s="12" t="s">
        <v>39</v>
      </c>
      <c r="C12" s="13">
        <v>2384</v>
      </c>
      <c r="D12" s="13">
        <v>1207</v>
      </c>
      <c r="E12" s="14">
        <v>50.6</v>
      </c>
      <c r="F12" s="13">
        <v>671788</v>
      </c>
      <c r="G12" s="13">
        <v>282</v>
      </c>
      <c r="H12" s="13">
        <f t="shared" si="0"/>
        <v>556.57663628831813</v>
      </c>
    </row>
    <row r="13" spans="1:8" x14ac:dyDescent="0.3">
      <c r="A13" s="9" t="s">
        <v>49</v>
      </c>
      <c r="B13" s="9" t="s">
        <v>41</v>
      </c>
      <c r="C13" s="10">
        <v>1703</v>
      </c>
      <c r="D13" s="10">
        <v>856</v>
      </c>
      <c r="E13" s="11">
        <v>50.3</v>
      </c>
      <c r="F13" s="10">
        <v>422198</v>
      </c>
      <c r="G13" s="10">
        <v>248</v>
      </c>
      <c r="H13" s="10">
        <f t="shared" si="0"/>
        <v>493.22196261682245</v>
      </c>
    </row>
    <row r="14" spans="1:8" x14ac:dyDescent="0.3">
      <c r="A14" s="9" t="s">
        <v>50</v>
      </c>
      <c r="B14" s="9" t="s">
        <v>43</v>
      </c>
      <c r="C14" s="10">
        <v>1796</v>
      </c>
      <c r="D14" s="10">
        <v>845</v>
      </c>
      <c r="E14" s="11">
        <v>47</v>
      </c>
      <c r="F14" s="10">
        <v>460792</v>
      </c>
      <c r="G14" s="10">
        <v>257</v>
      </c>
      <c r="H14" s="10">
        <f t="shared" si="0"/>
        <v>545.31597633136096</v>
      </c>
    </row>
    <row r="15" spans="1:8" x14ac:dyDescent="0.3">
      <c r="A15" s="9" t="s">
        <v>51</v>
      </c>
      <c r="B15" s="9" t="s">
        <v>31</v>
      </c>
      <c r="C15" s="10">
        <v>1589</v>
      </c>
      <c r="D15" s="10">
        <v>804</v>
      </c>
      <c r="E15" s="11">
        <v>50.6</v>
      </c>
      <c r="F15" s="10">
        <v>394031</v>
      </c>
      <c r="G15" s="10">
        <v>248</v>
      </c>
      <c r="H15" s="10">
        <f t="shared" si="0"/>
        <v>490.08830845771143</v>
      </c>
    </row>
    <row r="16" spans="1:8" x14ac:dyDescent="0.3">
      <c r="A16" s="9" t="s">
        <v>52</v>
      </c>
      <c r="B16" s="9" t="s">
        <v>33</v>
      </c>
      <c r="C16" s="10">
        <v>2658</v>
      </c>
      <c r="D16" s="10">
        <v>1374</v>
      </c>
      <c r="E16" s="11">
        <v>51.7</v>
      </c>
      <c r="F16" s="10">
        <v>875053</v>
      </c>
      <c r="G16" s="10">
        <v>329</v>
      </c>
      <c r="H16" s="10">
        <f t="shared" si="0"/>
        <v>636.86535662299855</v>
      </c>
    </row>
    <row r="17" spans="1:8" x14ac:dyDescent="0.3">
      <c r="A17" s="9" t="s">
        <v>53</v>
      </c>
      <c r="B17" s="9" t="s">
        <v>35</v>
      </c>
      <c r="C17" s="10">
        <v>1793</v>
      </c>
      <c r="D17" s="10">
        <v>876</v>
      </c>
      <c r="E17" s="11">
        <v>48.9</v>
      </c>
      <c r="F17" s="10">
        <v>445451</v>
      </c>
      <c r="G17" s="10">
        <v>248</v>
      </c>
      <c r="H17" s="10">
        <f t="shared" si="0"/>
        <v>508.50570776255705</v>
      </c>
    </row>
    <row r="18" spans="1:8" x14ac:dyDescent="0.3">
      <c r="A18" s="12" t="s">
        <v>54</v>
      </c>
      <c r="B18" s="12" t="s">
        <v>37</v>
      </c>
      <c r="C18" s="13">
        <v>2475</v>
      </c>
      <c r="D18" s="13">
        <v>1279</v>
      </c>
      <c r="E18" s="14">
        <v>51.7</v>
      </c>
      <c r="F18" s="13">
        <v>644842</v>
      </c>
      <c r="G18" s="13">
        <v>261</v>
      </c>
      <c r="H18" s="13">
        <f t="shared" si="0"/>
        <v>504.17670054730257</v>
      </c>
    </row>
    <row r="19" spans="1:8" x14ac:dyDescent="0.3">
      <c r="A19" s="12" t="s">
        <v>55</v>
      </c>
      <c r="B19" s="12" t="s">
        <v>39</v>
      </c>
      <c r="C19" s="13">
        <v>2173</v>
      </c>
      <c r="D19" s="13">
        <v>1136</v>
      </c>
      <c r="E19" s="14">
        <v>52.3</v>
      </c>
      <c r="F19" s="13">
        <v>628127</v>
      </c>
      <c r="G19" s="13">
        <v>289</v>
      </c>
      <c r="H19" s="13">
        <f t="shared" si="0"/>
        <v>552.92869718309862</v>
      </c>
    </row>
    <row r="20" spans="1:8" x14ac:dyDescent="0.3">
      <c r="A20" s="9" t="s">
        <v>56</v>
      </c>
      <c r="B20" s="9" t="s">
        <v>41</v>
      </c>
      <c r="C20" s="10">
        <v>1804</v>
      </c>
      <c r="D20" s="10">
        <v>847</v>
      </c>
      <c r="E20" s="11">
        <v>47</v>
      </c>
      <c r="F20" s="10">
        <v>403556</v>
      </c>
      <c r="G20" s="10">
        <v>224</v>
      </c>
      <c r="H20" s="10">
        <f t="shared" si="0"/>
        <v>476.45336481700116</v>
      </c>
    </row>
    <row r="21" spans="1:8" x14ac:dyDescent="0.3">
      <c r="A21" s="9" t="s">
        <v>57</v>
      </c>
      <c r="B21" s="9" t="s">
        <v>43</v>
      </c>
      <c r="C21" s="10">
        <v>1812</v>
      </c>
      <c r="D21" s="10">
        <v>896</v>
      </c>
      <c r="E21" s="11">
        <v>49.4</v>
      </c>
      <c r="F21" s="10">
        <v>410816</v>
      </c>
      <c r="G21" s="10">
        <v>227</v>
      </c>
      <c r="H21" s="10">
        <f t="shared" si="0"/>
        <v>458.5</v>
      </c>
    </row>
    <row r="22" spans="1:8" x14ac:dyDescent="0.3">
      <c r="A22" s="9" t="s">
        <v>58</v>
      </c>
      <c r="B22" s="9" t="s">
        <v>31</v>
      </c>
      <c r="C22" s="10">
        <v>1855</v>
      </c>
      <c r="D22" s="10">
        <v>922</v>
      </c>
      <c r="E22" s="11">
        <v>49.7</v>
      </c>
      <c r="F22" s="10">
        <v>498323</v>
      </c>
      <c r="G22" s="10">
        <v>269</v>
      </c>
      <c r="H22" s="10">
        <f t="shared" si="0"/>
        <v>540.48047722342733</v>
      </c>
    </row>
    <row r="23" spans="1:8" x14ac:dyDescent="0.3">
      <c r="A23" s="9" t="s">
        <v>59</v>
      </c>
      <c r="B23" s="9" t="s">
        <v>33</v>
      </c>
      <c r="C23" s="10">
        <v>1702</v>
      </c>
      <c r="D23" s="10">
        <v>800</v>
      </c>
      <c r="E23" s="11">
        <v>47</v>
      </c>
      <c r="F23" s="10">
        <v>437887</v>
      </c>
      <c r="G23" s="10">
        <v>257</v>
      </c>
      <c r="H23" s="10">
        <f t="shared" si="0"/>
        <v>547.35874999999999</v>
      </c>
    </row>
    <row r="24" spans="1:8" x14ac:dyDescent="0.3">
      <c r="A24" s="9" t="s">
        <v>60</v>
      </c>
      <c r="B24" s="9" t="s">
        <v>35</v>
      </c>
      <c r="C24" s="10">
        <v>2064</v>
      </c>
      <c r="D24" s="10">
        <v>1091</v>
      </c>
      <c r="E24" s="11">
        <v>52.9</v>
      </c>
      <c r="F24" s="10">
        <v>700112</v>
      </c>
      <c r="G24" s="10">
        <v>339</v>
      </c>
      <c r="H24" s="10">
        <f t="shared" si="0"/>
        <v>641.71585701191566</v>
      </c>
    </row>
    <row r="25" spans="1:8" x14ac:dyDescent="0.3">
      <c r="A25" s="12" t="s">
        <v>61</v>
      </c>
      <c r="B25" s="12" t="s">
        <v>37</v>
      </c>
      <c r="C25" s="13">
        <v>2516</v>
      </c>
      <c r="D25" s="13">
        <v>1238</v>
      </c>
      <c r="E25" s="14">
        <v>49.2</v>
      </c>
      <c r="F25" s="13">
        <v>744672</v>
      </c>
      <c r="G25" s="13">
        <v>296</v>
      </c>
      <c r="H25" s="13">
        <f t="shared" si="0"/>
        <v>601.51211631663978</v>
      </c>
    </row>
    <row r="26" spans="1:8" x14ac:dyDescent="0.3">
      <c r="A26" s="12" t="s">
        <v>62</v>
      </c>
      <c r="B26" s="12" t="s">
        <v>39</v>
      </c>
      <c r="C26" s="13">
        <v>2347</v>
      </c>
      <c r="D26" s="13">
        <v>1193</v>
      </c>
      <c r="E26" s="14">
        <v>50.8</v>
      </c>
      <c r="F26" s="13">
        <v>689411</v>
      </c>
      <c r="G26" s="13">
        <v>294</v>
      </c>
      <c r="H26" s="13">
        <f t="shared" si="0"/>
        <v>577.88013411567476</v>
      </c>
    </row>
    <row r="27" spans="1:8" x14ac:dyDescent="0.3">
      <c r="A27" s="9" t="s">
        <v>63</v>
      </c>
      <c r="B27" s="9" t="s">
        <v>41</v>
      </c>
      <c r="C27" s="10">
        <v>1851</v>
      </c>
      <c r="D27" s="10">
        <v>919</v>
      </c>
      <c r="E27" s="11">
        <v>49.6</v>
      </c>
      <c r="F27" s="10">
        <v>443426</v>
      </c>
      <c r="G27" s="10">
        <v>240</v>
      </c>
      <c r="H27" s="10">
        <f t="shared" si="0"/>
        <v>482.50924918389552</v>
      </c>
    </row>
    <row r="28" spans="1:8" x14ac:dyDescent="0.3">
      <c r="A28" s="9" t="s">
        <v>64</v>
      </c>
      <c r="B28" s="9" t="s">
        <v>43</v>
      </c>
      <c r="C28" s="10">
        <v>2041</v>
      </c>
      <c r="D28" s="10">
        <v>1042</v>
      </c>
      <c r="E28" s="11">
        <v>51.1</v>
      </c>
      <c r="F28" s="10">
        <v>521592</v>
      </c>
      <c r="G28" s="10">
        <v>256</v>
      </c>
      <c r="H28" s="10">
        <f t="shared" si="0"/>
        <v>500.56813819577735</v>
      </c>
    </row>
    <row r="29" spans="1:8" x14ac:dyDescent="0.3">
      <c r="A29" s="9" t="s">
        <v>65</v>
      </c>
      <c r="B29" s="9" t="s">
        <v>31</v>
      </c>
      <c r="C29" s="10">
        <v>1674</v>
      </c>
      <c r="D29" s="10">
        <v>961</v>
      </c>
      <c r="E29" s="11">
        <v>57.4</v>
      </c>
      <c r="F29" s="10">
        <v>434402</v>
      </c>
      <c r="G29" s="10">
        <v>259</v>
      </c>
      <c r="H29" s="10">
        <f t="shared" si="0"/>
        <v>452.03121748178978</v>
      </c>
    </row>
    <row r="30" spans="1:8" x14ac:dyDescent="0.3">
      <c r="A30" s="9" t="s">
        <v>66</v>
      </c>
      <c r="B30" s="9" t="s">
        <v>33</v>
      </c>
      <c r="C30" s="10">
        <v>1805</v>
      </c>
      <c r="D30" s="10">
        <v>1021</v>
      </c>
      <c r="E30" s="11">
        <v>56.6</v>
      </c>
      <c r="F30" s="10">
        <v>530147</v>
      </c>
      <c r="G30" s="10">
        <v>294</v>
      </c>
      <c r="H30" s="10">
        <f t="shared" si="0"/>
        <v>519.24289911851122</v>
      </c>
    </row>
    <row r="31" spans="1:8" x14ac:dyDescent="0.3">
      <c r="A31" s="9" t="s">
        <v>67</v>
      </c>
      <c r="B31" s="9" t="s">
        <v>35</v>
      </c>
      <c r="C31" s="10">
        <v>1935</v>
      </c>
      <c r="D31" s="10">
        <v>1073</v>
      </c>
      <c r="E31" s="11">
        <v>55.5</v>
      </c>
      <c r="F31" s="10">
        <v>607030</v>
      </c>
      <c r="G31" s="10">
        <v>314</v>
      </c>
      <c r="H31" s="10">
        <f t="shared" si="0"/>
        <v>565.73159366262814</v>
      </c>
    </row>
    <row r="32" spans="1:8" x14ac:dyDescent="0.3">
      <c r="A32" s="12" t="s">
        <v>68</v>
      </c>
      <c r="B32" s="12" t="s">
        <v>37</v>
      </c>
      <c r="C32" s="13">
        <v>2978</v>
      </c>
      <c r="D32" s="13">
        <v>1616</v>
      </c>
      <c r="E32" s="14">
        <v>54.3</v>
      </c>
      <c r="F32" s="13">
        <v>964349</v>
      </c>
      <c r="G32" s="13">
        <v>324</v>
      </c>
      <c r="H32" s="13">
        <f t="shared" si="0"/>
        <v>596.75061881188117</v>
      </c>
    </row>
    <row r="33" spans="1:8" x14ac:dyDescent="0.3">
      <c r="A33" s="12" t="s">
        <v>69</v>
      </c>
      <c r="B33" s="12" t="s">
        <v>39</v>
      </c>
      <c r="C33" s="13">
        <v>2502</v>
      </c>
      <c r="D33" s="13">
        <v>1342</v>
      </c>
      <c r="E33" s="14">
        <v>53.6</v>
      </c>
      <c r="F33" s="13">
        <v>759069</v>
      </c>
      <c r="G33" s="13">
        <v>303</v>
      </c>
      <c r="H33" s="13">
        <f t="shared" si="0"/>
        <v>565.62518628912073</v>
      </c>
    </row>
    <row r="34" spans="1:8" x14ac:dyDescent="0.3">
      <c r="A34" s="9" t="s">
        <v>70</v>
      </c>
      <c r="B34" s="9" t="s">
        <v>41</v>
      </c>
      <c r="C34" s="10">
        <v>1816</v>
      </c>
      <c r="D34" s="10">
        <v>958</v>
      </c>
      <c r="E34" s="11">
        <v>52.8</v>
      </c>
      <c r="F34" s="10">
        <v>507630</v>
      </c>
      <c r="G34" s="10">
        <v>280</v>
      </c>
      <c r="H34" s="10">
        <f t="shared" si="0"/>
        <v>529.88517745302715</v>
      </c>
    </row>
    <row r="35" spans="1:8" x14ac:dyDescent="0.3">
      <c r="A35" s="9" t="s">
        <v>71</v>
      </c>
      <c r="B35" s="9" t="s">
        <v>43</v>
      </c>
      <c r="C35" s="10">
        <v>1823</v>
      </c>
      <c r="D35" s="10">
        <v>845</v>
      </c>
      <c r="E35" s="11">
        <v>46.4</v>
      </c>
      <c r="F35" s="10">
        <v>463838</v>
      </c>
      <c r="G35" s="10">
        <v>254</v>
      </c>
      <c r="H35" s="10">
        <f t="shared" si="0"/>
        <v>548.9207100591716</v>
      </c>
    </row>
    <row r="36" spans="1:8" x14ac:dyDescent="0.3">
      <c r="A36" s="9" t="s">
        <v>72</v>
      </c>
      <c r="B36" s="9" t="s">
        <v>31</v>
      </c>
      <c r="C36" s="10">
        <v>1706</v>
      </c>
      <c r="D36" s="10">
        <v>834</v>
      </c>
      <c r="E36" s="11">
        <v>48.9</v>
      </c>
      <c r="F36" s="10">
        <v>437963</v>
      </c>
      <c r="G36" s="10">
        <v>257</v>
      </c>
      <c r="H36" s="10">
        <f t="shared" si="0"/>
        <v>525.1354916067146</v>
      </c>
    </row>
    <row r="37" spans="1:8" x14ac:dyDescent="0.3">
      <c r="A37" s="9" t="s">
        <v>73</v>
      </c>
      <c r="B37" s="9" t="s">
        <v>33</v>
      </c>
      <c r="C37" s="10">
        <v>1646</v>
      </c>
      <c r="D37" s="10">
        <v>821</v>
      </c>
      <c r="E37" s="11">
        <v>49.9</v>
      </c>
      <c r="F37" s="10">
        <v>428607</v>
      </c>
      <c r="G37" s="10">
        <v>260</v>
      </c>
      <c r="H37" s="10">
        <f t="shared" si="0"/>
        <v>522.05481120584648</v>
      </c>
    </row>
    <row r="38" spans="1:8" x14ac:dyDescent="0.3">
      <c r="A38" s="9" t="s">
        <v>74</v>
      </c>
      <c r="B38" s="9" t="s">
        <v>35</v>
      </c>
      <c r="C38" s="10">
        <v>1691</v>
      </c>
      <c r="D38" s="10">
        <v>862</v>
      </c>
      <c r="E38" s="11">
        <v>51</v>
      </c>
      <c r="F38" s="10">
        <v>413658</v>
      </c>
      <c r="G38" s="10">
        <v>245</v>
      </c>
      <c r="H38" s="10">
        <f t="shared" si="0"/>
        <v>479.8816705336427</v>
      </c>
    </row>
    <row r="39" spans="1:8" x14ac:dyDescent="0.3">
      <c r="A39" s="12" t="s">
        <v>75</v>
      </c>
      <c r="B39" s="12" t="s">
        <v>37</v>
      </c>
      <c r="C39" s="13">
        <v>2317</v>
      </c>
      <c r="D39" s="13">
        <v>1170</v>
      </c>
      <c r="E39" s="14">
        <v>50.5</v>
      </c>
      <c r="F39" s="13">
        <v>656210</v>
      </c>
      <c r="G39" s="13">
        <v>283</v>
      </c>
      <c r="H39" s="13">
        <f t="shared" si="0"/>
        <v>560.86324786324781</v>
      </c>
    </row>
    <row r="40" spans="1:8" x14ac:dyDescent="0.3">
      <c r="A40" s="12" t="s">
        <v>76</v>
      </c>
      <c r="B40" s="12" t="s">
        <v>39</v>
      </c>
      <c r="C40" s="13">
        <v>2159</v>
      </c>
      <c r="D40" s="13">
        <v>1065</v>
      </c>
      <c r="E40" s="14">
        <v>49.3</v>
      </c>
      <c r="F40" s="13">
        <v>629015</v>
      </c>
      <c r="G40" s="13">
        <v>291</v>
      </c>
      <c r="H40" s="13">
        <f t="shared" si="0"/>
        <v>590.62441314553996</v>
      </c>
    </row>
    <row r="41" spans="1:8" x14ac:dyDescent="0.3">
      <c r="A41" s="9" t="s">
        <v>77</v>
      </c>
      <c r="B41" s="9" t="s">
        <v>41</v>
      </c>
      <c r="C41" s="10">
        <v>1733</v>
      </c>
      <c r="D41" s="10">
        <v>911</v>
      </c>
      <c r="E41" s="11">
        <v>52.6</v>
      </c>
      <c r="F41" s="10">
        <v>416876</v>
      </c>
      <c r="G41" s="10">
        <v>241</v>
      </c>
      <c r="H41" s="10">
        <f t="shared" si="0"/>
        <v>457.60263446761797</v>
      </c>
    </row>
    <row r="42" spans="1:8" x14ac:dyDescent="0.3">
      <c r="A42" s="9" t="s">
        <v>78</v>
      </c>
      <c r="B42" s="9" t="s">
        <v>43</v>
      </c>
      <c r="C42" s="10">
        <v>1876</v>
      </c>
      <c r="D42" s="10">
        <v>958</v>
      </c>
      <c r="E42" s="11">
        <v>51.1</v>
      </c>
      <c r="F42" s="10">
        <v>530884</v>
      </c>
      <c r="G42" s="10">
        <v>283</v>
      </c>
      <c r="H42" s="10">
        <f t="shared" si="0"/>
        <v>554.15866388308973</v>
      </c>
    </row>
    <row r="43" spans="1:8" x14ac:dyDescent="0.3">
      <c r="A43" s="9" t="s">
        <v>79</v>
      </c>
      <c r="B43" s="9" t="s">
        <v>31</v>
      </c>
      <c r="C43" s="10">
        <v>1521</v>
      </c>
      <c r="D43" s="10">
        <v>769</v>
      </c>
      <c r="E43" s="11">
        <v>50.6</v>
      </c>
      <c r="F43" s="10">
        <v>351978</v>
      </c>
      <c r="G43" s="10">
        <v>231</v>
      </c>
      <c r="H43" s="10">
        <f t="shared" si="0"/>
        <v>457.70871261378414</v>
      </c>
    </row>
    <row r="44" spans="1:8" x14ac:dyDescent="0.3">
      <c r="A44" s="9" t="s">
        <v>80</v>
      </c>
      <c r="B44" s="9" t="s">
        <v>33</v>
      </c>
      <c r="C44" s="10">
        <v>1702</v>
      </c>
      <c r="D44" s="10">
        <v>951</v>
      </c>
      <c r="E44" s="11">
        <v>55.9</v>
      </c>
      <c r="F44" s="10">
        <v>476028</v>
      </c>
      <c r="G44" s="10">
        <v>280</v>
      </c>
      <c r="H44" s="10">
        <f t="shared" si="0"/>
        <v>500.55520504731862</v>
      </c>
    </row>
    <row r="45" spans="1:8" x14ac:dyDescent="0.3">
      <c r="A45" s="9" t="s">
        <v>81</v>
      </c>
      <c r="B45" s="9" t="s">
        <v>35</v>
      </c>
      <c r="C45" s="10">
        <v>1739</v>
      </c>
      <c r="D45" s="10">
        <v>864</v>
      </c>
      <c r="E45" s="11">
        <v>49.7</v>
      </c>
      <c r="F45" s="10">
        <v>424583</v>
      </c>
      <c r="G45" s="10">
        <v>244</v>
      </c>
      <c r="H45" s="10">
        <f t="shared" si="0"/>
        <v>491.41550925925924</v>
      </c>
    </row>
    <row r="46" spans="1:8" x14ac:dyDescent="0.3">
      <c r="A46" s="12" t="s">
        <v>82</v>
      </c>
      <c r="B46" s="12" t="s">
        <v>37</v>
      </c>
      <c r="C46" s="13">
        <v>2247</v>
      </c>
      <c r="D46" s="13">
        <v>1181</v>
      </c>
      <c r="E46" s="14">
        <v>52.6</v>
      </c>
      <c r="F46" s="13">
        <v>687926</v>
      </c>
      <c r="G46" s="13">
        <v>306</v>
      </c>
      <c r="H46" s="13">
        <f t="shared" si="0"/>
        <v>582.4944961896698</v>
      </c>
    </row>
    <row r="47" spans="1:8" x14ac:dyDescent="0.3">
      <c r="A47" s="12" t="s">
        <v>83</v>
      </c>
      <c r="B47" s="12" t="s">
        <v>39</v>
      </c>
      <c r="C47" s="13">
        <v>2031</v>
      </c>
      <c r="D47" s="13">
        <v>1022</v>
      </c>
      <c r="E47" s="14">
        <v>50.3</v>
      </c>
      <c r="F47" s="13">
        <v>565291</v>
      </c>
      <c r="G47" s="13">
        <v>278</v>
      </c>
      <c r="H47" s="13">
        <f t="shared" si="0"/>
        <v>553.1223091976517</v>
      </c>
    </row>
    <row r="48" spans="1:8" x14ac:dyDescent="0.3">
      <c r="A48" s="9" t="s">
        <v>84</v>
      </c>
      <c r="B48" s="9" t="s">
        <v>41</v>
      </c>
      <c r="C48" s="10">
        <v>1967</v>
      </c>
      <c r="D48" s="10">
        <v>1055</v>
      </c>
      <c r="E48" s="11">
        <v>53.6</v>
      </c>
      <c r="F48" s="10">
        <v>586896</v>
      </c>
      <c r="G48" s="10">
        <v>298</v>
      </c>
      <c r="H48" s="10">
        <f t="shared" si="0"/>
        <v>556.29952606635072</v>
      </c>
    </row>
    <row r="49" spans="1:8" x14ac:dyDescent="0.3">
      <c r="A49" s="9" t="s">
        <v>85</v>
      </c>
      <c r="B49" s="9" t="s">
        <v>43</v>
      </c>
      <c r="C49" s="10">
        <v>1492</v>
      </c>
      <c r="D49" s="10">
        <v>788</v>
      </c>
      <c r="E49" s="11">
        <v>52.8</v>
      </c>
      <c r="F49" s="10">
        <v>474712</v>
      </c>
      <c r="G49" s="10">
        <v>318</v>
      </c>
      <c r="H49" s="10">
        <f t="shared" si="0"/>
        <v>602.42639593908632</v>
      </c>
    </row>
    <row r="50" spans="1:8" x14ac:dyDescent="0.3">
      <c r="A50" s="9" t="s">
        <v>86</v>
      </c>
      <c r="B50" s="9" t="s">
        <v>33</v>
      </c>
      <c r="C50" s="10">
        <v>1048</v>
      </c>
      <c r="D50" s="10">
        <v>588</v>
      </c>
      <c r="E50" s="11">
        <v>56.1</v>
      </c>
      <c r="F50" s="10">
        <v>335596</v>
      </c>
      <c r="G50" s="10">
        <v>320</v>
      </c>
      <c r="H50" s="10">
        <f t="shared" si="0"/>
        <v>570.7414965986394</v>
      </c>
    </row>
    <row r="51" spans="1:8" x14ac:dyDescent="0.3">
      <c r="A51" s="9" t="s">
        <v>87</v>
      </c>
      <c r="B51" s="9" t="s">
        <v>35</v>
      </c>
      <c r="C51" s="10">
        <v>1538</v>
      </c>
      <c r="D51" s="10">
        <v>874</v>
      </c>
      <c r="E51" s="11">
        <v>56.8</v>
      </c>
      <c r="F51" s="10">
        <v>518608</v>
      </c>
      <c r="G51" s="10">
        <v>337</v>
      </c>
      <c r="H51" s="10">
        <f t="shared" si="0"/>
        <v>593.37299771167045</v>
      </c>
    </row>
    <row r="52" spans="1:8" x14ac:dyDescent="0.3">
      <c r="A52" s="12" t="s">
        <v>88</v>
      </c>
      <c r="B52" s="12" t="s">
        <v>37</v>
      </c>
      <c r="C52" s="13">
        <v>1617</v>
      </c>
      <c r="D52" s="13">
        <v>879</v>
      </c>
      <c r="E52" s="14">
        <v>54.4</v>
      </c>
      <c r="F52" s="13">
        <v>535709</v>
      </c>
      <c r="G52" s="13">
        <v>331</v>
      </c>
      <c r="H52" s="13">
        <f t="shared" si="0"/>
        <v>609.45278725824801</v>
      </c>
    </row>
    <row r="53" spans="1:8" x14ac:dyDescent="0.3">
      <c r="A53" s="12" t="s">
        <v>89</v>
      </c>
      <c r="B53" s="12" t="s">
        <v>39</v>
      </c>
      <c r="C53" s="13">
        <v>1631</v>
      </c>
      <c r="D53" s="13">
        <v>875</v>
      </c>
      <c r="E53" s="14">
        <v>53.6</v>
      </c>
      <c r="F53" s="13">
        <v>514436</v>
      </c>
      <c r="G53" s="13">
        <v>315</v>
      </c>
      <c r="H53" s="13">
        <f t="shared" si="0"/>
        <v>587.9268571428571</v>
      </c>
    </row>
    <row r="54" spans="1:8" x14ac:dyDescent="0.3">
      <c r="A54" s="9" t="s">
        <v>90</v>
      </c>
      <c r="B54" s="9" t="s">
        <v>41</v>
      </c>
      <c r="C54" s="10">
        <v>1563</v>
      </c>
      <c r="D54" s="10">
        <v>802</v>
      </c>
      <c r="E54" s="11">
        <v>51.3</v>
      </c>
      <c r="F54" s="10">
        <v>420252</v>
      </c>
      <c r="G54" s="10">
        <v>269</v>
      </c>
      <c r="H54" s="10">
        <f t="shared" si="0"/>
        <v>524.00498753117211</v>
      </c>
    </row>
    <row r="55" spans="1:8" x14ac:dyDescent="0.3">
      <c r="A55" s="9" t="s">
        <v>91</v>
      </c>
      <c r="B55" s="9" t="s">
        <v>43</v>
      </c>
      <c r="C55" s="10">
        <v>1539</v>
      </c>
      <c r="D55" s="10">
        <v>846</v>
      </c>
      <c r="E55" s="11">
        <v>55</v>
      </c>
      <c r="F55" s="10">
        <v>386159</v>
      </c>
      <c r="G55" s="10">
        <v>251</v>
      </c>
      <c r="H55" s="10">
        <f t="shared" si="0"/>
        <v>456.45271867612291</v>
      </c>
    </row>
    <row r="56" spans="1:8" x14ac:dyDescent="0.3">
      <c r="A56" s="9" t="s">
        <v>92</v>
      </c>
      <c r="B56" s="9" t="s">
        <v>31</v>
      </c>
      <c r="C56" s="10">
        <v>1423</v>
      </c>
      <c r="D56" s="10">
        <v>731</v>
      </c>
      <c r="E56" s="11">
        <v>51.4</v>
      </c>
      <c r="F56" s="10">
        <v>352072</v>
      </c>
      <c r="G56" s="10">
        <v>247</v>
      </c>
      <c r="H56" s="10">
        <f t="shared" si="0"/>
        <v>481.63064295485634</v>
      </c>
    </row>
    <row r="57" spans="1:8" x14ac:dyDescent="0.3">
      <c r="A57" s="9" t="s">
        <v>93</v>
      </c>
      <c r="B57" s="9" t="s">
        <v>33</v>
      </c>
      <c r="C57" s="10">
        <v>1505</v>
      </c>
      <c r="D57" s="10">
        <v>712</v>
      </c>
      <c r="E57" s="11">
        <v>47.3</v>
      </c>
      <c r="F57" s="10">
        <v>367751</v>
      </c>
      <c r="G57" s="10">
        <v>244</v>
      </c>
      <c r="H57" s="10">
        <f t="shared" si="0"/>
        <v>516.50421348314603</v>
      </c>
    </row>
    <row r="58" spans="1:8" x14ac:dyDescent="0.3">
      <c r="A58" s="9" t="s">
        <v>94</v>
      </c>
      <c r="B58" s="9" t="s">
        <v>35</v>
      </c>
      <c r="C58" s="10">
        <v>1454</v>
      </c>
      <c r="D58" s="10">
        <v>693</v>
      </c>
      <c r="E58" s="11">
        <v>47.7</v>
      </c>
      <c r="F58" s="10">
        <v>357080</v>
      </c>
      <c r="G58" s="10">
        <v>246</v>
      </c>
      <c r="H58" s="10">
        <f t="shared" si="0"/>
        <v>515.26695526695528</v>
      </c>
    </row>
    <row r="59" spans="1:8" x14ac:dyDescent="0.3">
      <c r="A59" s="12" t="s">
        <v>95</v>
      </c>
      <c r="B59" s="12" t="s">
        <v>37</v>
      </c>
      <c r="C59" s="13">
        <v>2191</v>
      </c>
      <c r="D59" s="13">
        <v>1116</v>
      </c>
      <c r="E59" s="14">
        <v>50.9</v>
      </c>
      <c r="F59" s="13">
        <v>589135</v>
      </c>
      <c r="G59" s="13">
        <v>269</v>
      </c>
      <c r="H59" s="13">
        <f t="shared" si="0"/>
        <v>527.89874551971332</v>
      </c>
    </row>
    <row r="60" spans="1:8" x14ac:dyDescent="0.3">
      <c r="A60" s="12" t="s">
        <v>96</v>
      </c>
      <c r="B60" s="12" t="s">
        <v>39</v>
      </c>
      <c r="C60" s="13">
        <v>1860</v>
      </c>
      <c r="D60" s="13">
        <v>996</v>
      </c>
      <c r="E60" s="14">
        <v>53.5</v>
      </c>
      <c r="F60" s="13">
        <v>552416</v>
      </c>
      <c r="G60" s="13">
        <v>297</v>
      </c>
      <c r="H60" s="13">
        <f t="shared" si="0"/>
        <v>554.63453815261039</v>
      </c>
    </row>
    <row r="61" spans="1:8" x14ac:dyDescent="0.3">
      <c r="A61" s="15" t="s">
        <v>97</v>
      </c>
      <c r="B61" s="15"/>
      <c r="C61" s="16">
        <f>+SUM(C2:C60)</f>
        <v>112838</v>
      </c>
      <c r="D61" s="16">
        <f>+SUM(D2:D60)</f>
        <v>57901</v>
      </c>
      <c r="E61" s="17">
        <f>+D61/C61*100</f>
        <v>51.313387334054127</v>
      </c>
      <c r="F61" s="16">
        <f>+SUM(F2:F60)</f>
        <v>31293777</v>
      </c>
      <c r="G61" s="16">
        <f>+F61/C61</f>
        <v>277.33367305340397</v>
      </c>
      <c r="H61" s="16">
        <f>+F61/D61</f>
        <v>540.47040638330941</v>
      </c>
    </row>
  </sheetData>
  <autoFilter ref="A1:H61" xr:uid="{00000000-0001-0000-01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Yönetici Özeti</vt:lpstr>
      <vt:lpstr>Gün Gün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Fikri EREN</cp:lastModifiedBy>
  <dcterms:created xsi:type="dcterms:W3CDTF">2026-06-09T05:55:09Z</dcterms:created>
  <dcterms:modified xsi:type="dcterms:W3CDTF">2026-06-10T06:46:09Z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2026-06-10T06:46:09Z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ce838670-1954-4442-b940-eac0d507ddc2</vt:lpwstr>
  </property>
  <property fmtid="{D5CDD505-2E9C-101B-9397-08002B2CF9AE}" pid="7" name="MSIP_Label_defa4170-0d19-0005-0004-bc88714345d2_ActionId">
    <vt:lpwstr>e8c3f45a-a283-4b63-8889-140b73654e91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