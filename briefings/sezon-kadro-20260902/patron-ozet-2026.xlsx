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De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\ &quot;₺&quot;"/>
    <numFmt numFmtId="166" formatCode="#,##0.0"/>
  </numFmts>
  <fonts count="8">
    <font>
      <name val="Calibri"/>
      <family val="2"/>
      <color theme="1"/>
      <sz val="11"/>
      <scheme val="minor"/>
    </font>
    <font>
      <b val="1"/>
      <sz val="16"/>
    </font>
    <font>
      <sz val="11"/>
    </font>
    <font>
      <i val="1"/>
      <color rgb="00666666"/>
      <sz val="9"/>
    </font>
    <font>
      <b val="1"/>
      <color rgb="001F5B57"/>
      <sz val="11"/>
    </font>
    <font>
      <b val="1"/>
      <color rgb="00FFFFFF"/>
      <sz val="10"/>
    </font>
    <font>
      <b val="1"/>
    </font>
    <font>
      <sz val="10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0" borderId="1" pivotButton="0" quotePrefix="0" xfId="0"/>
    <xf numFmtId="0" fontId="6" fillId="3" borderId="1" pivotButton="0" quotePrefix="0" xfId="0"/>
    <xf numFmtId="1" fontId="6" fillId="3" borderId="1" pivotButton="0" quotePrefix="0" xfId="0"/>
    <xf numFmtId="164" fontId="6" fillId="3" borderId="1" pivotButton="0" quotePrefix="0" xfId="0"/>
    <xf numFmtId="0" fontId="0" fillId="0" borderId="1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Kadrolu personel akisi (2026)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'Ozet'!C7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'Ozet'!$B$8:$B$12</f>
            </numRef>
          </cat>
          <val>
            <numRef>
              <f>'Ozet'!$C$8:$C$12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Urun adedi — magaza bazli (1 Tem – 31 Agu)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'Detay'!K5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'Detay'!$A$6:$A$8</f>
            </numRef>
          </cat>
          <val>
            <numRef>
              <f>'Detay'!$K$6:$K$8</f>
            </numRef>
          </val>
        </ser>
        <ser>
          <idx val="1"/>
          <order val="1"/>
          <tx>
            <strRef>
              <f>'Detay'!L5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'Detay'!$A$6:$A$8</f>
            </numRef>
          </cat>
          <val>
            <numRef>
              <f>'Detay'!$L$6:$L$8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'Detay'!Q5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'Detay'!$A$6:$A$8</f>
            </numRef>
          </cat>
          <val>
            <numRef>
              <f>'Detay'!$Q$6:$Q$8</f>
            </numRef>
          </val>
        </ser>
        <ser>
          <idx val="1"/>
          <order val="1"/>
          <tx>
            <strRef>
              <f>'Detay'!R5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'Detay'!$A$6:$A$8</f>
            </numRef>
          </cat>
          <val>
            <numRef>
              <f>'Detay'!$R$6:$R$8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11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0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2">
      <c r="B2" s="1" t="inlineStr">
        <is>
          <t>KADRO MU BUYUDU, IS MI BUYUDU</t>
        </is>
      </c>
    </row>
    <row r="3" ht="32" customHeight="1">
      <c r="B3" s="2" t="inlineStr">
        <is>
          <t>Kadro farki 1 Temmuz'dan ONCE olustu: sezon-oncesi taban 133 -&gt; 150 (+17). Sezon doneminde kadro buyutulmedi: kadrolu 150 -&gt; 148, sezonluk 64 -&gt; 61.</t>
        </is>
      </c>
    </row>
    <row r="4">
      <c r="B4" s="3" t="inlineStr">
        <is>
          <t>TABAN = 30 Haziran (sezon oncesi) · SEZON = 1 Temmuz - 31 Agustos · iki yil ayni takvim gunu</t>
        </is>
      </c>
    </row>
    <row r="6">
      <c r="B6" s="4" t="inlineStr">
        <is>
          <t>1 · FARK NEREDE OLUSTU — magazalarda kadrolu personel</t>
        </is>
      </c>
    </row>
    <row r="7" ht="30" customHeight="1">
      <c r="B7" s="5" t="inlineStr">
        <is>
          <t>Adim</t>
        </is>
      </c>
      <c r="C7" s="5" t="inlineStr">
        <is>
          <t>2026</t>
        </is>
      </c>
      <c r="D7" s="5" t="inlineStr">
        <is>
          <t>2025 ayni akis</t>
        </is>
      </c>
    </row>
    <row r="8">
      <c r="B8" s="6" t="inlineStr">
        <is>
          <t>2025 tabani (30.06.2025)</t>
        </is>
      </c>
      <c r="C8" s="7" t="n">
        <v>133</v>
      </c>
      <c r="D8" s="7" t="n">
        <v>133</v>
      </c>
    </row>
    <row r="9">
      <c r="B9" s="8" t="inlineStr">
        <is>
          <t>1 Temmuz oncesi eklenen</t>
        </is>
      </c>
      <c r="C9" s="9" t="n">
        <v>17</v>
      </c>
      <c r="D9" s="9" t="n"/>
    </row>
    <row r="10">
      <c r="B10" s="6" t="inlineStr">
        <is>
          <t>2026 tabani (30.06.2026)</t>
        </is>
      </c>
      <c r="C10" s="7" t="n">
        <v>150</v>
      </c>
      <c r="D10" s="7" t="n"/>
    </row>
    <row r="11">
      <c r="B11" s="8" t="inlineStr">
        <is>
          <t>Sezon ici degisim (1 Tem - 31 Agu)</t>
        </is>
      </c>
      <c r="C11" s="9" t="n">
        <v>-2</v>
      </c>
      <c r="D11" s="9" t="n">
        <v>-1</v>
      </c>
    </row>
    <row r="12">
      <c r="B12" s="6" t="inlineStr">
        <is>
          <t>31 Agustos 2026</t>
        </is>
      </c>
      <c r="C12" s="7" t="n">
        <v>148</v>
      </c>
      <c r="D12" s="7" t="n"/>
    </row>
    <row r="13">
      <c r="B13" s="3" t="inlineStr">
        <is>
          <t>Arti olan tek adim 1 Temmuz oncesi; sezon adimi eksi. Gecen yil da ayni yon (-1).</t>
        </is>
      </c>
    </row>
    <row r="16">
      <c r="B16" s="4" t="inlineStr">
        <is>
          <t>2 · MAGAZA KIRILIMI — kadro (kisi) ve is hacmi (degisim)</t>
        </is>
      </c>
    </row>
    <row r="17" ht="30" customHeight="1">
      <c r="B17" s="5" t="inlineStr">
        <is>
          <t>Magaza</t>
        </is>
      </c>
      <c r="C17" s="5" t="inlineStr">
        <is>
          <t>Sezonluk 25</t>
        </is>
      </c>
      <c r="D17" s="5" t="inlineStr">
        <is>
          <t>Sezonluk 26</t>
        </is>
      </c>
      <c r="E17" s="5" t="inlineStr">
        <is>
          <t>Sezonluk Δ</t>
        </is>
      </c>
      <c r="F17" s="5" t="inlineStr">
        <is>
          <t>Kadrolu taban 25
(30.06)</t>
        </is>
      </c>
      <c r="G17" s="5" t="inlineStr">
        <is>
          <t>Kadrolu taban 26
(30.06)</t>
        </is>
      </c>
      <c r="H17" s="5" t="inlineStr">
        <is>
          <t>Kadrolu 31.08.25</t>
        </is>
      </c>
      <c r="I17" s="5" t="inlineStr">
        <is>
          <t>Kadrolu 31.08.26</t>
        </is>
      </c>
      <c r="J17" s="5" t="inlineStr">
        <is>
          <t>Sezon ici 25</t>
        </is>
      </c>
      <c r="K17" s="5" t="inlineStr">
        <is>
          <t>Sezon ici 26</t>
        </is>
      </c>
      <c r="L17" s="5" t="inlineStr">
        <is>
          <t>Urun adedi Δ</t>
        </is>
      </c>
      <c r="M17" s="5" t="inlineStr">
        <is>
          <t>Ciro Δ</t>
        </is>
      </c>
    </row>
    <row r="18">
      <c r="B18" s="6" t="inlineStr">
        <is>
          <t>IST. YOLU</t>
        </is>
      </c>
      <c r="C18" s="7" t="n">
        <v>23</v>
      </c>
      <c r="D18" s="7" t="n">
        <v>25</v>
      </c>
      <c r="E18" s="7">
        <f>D18-C18</f>
        <v/>
      </c>
      <c r="F18" s="7" t="n">
        <v>28</v>
      </c>
      <c r="G18" s="7" t="n">
        <v>34</v>
      </c>
      <c r="H18" s="7" t="n">
        <v>27</v>
      </c>
      <c r="I18" s="7" t="n">
        <v>36</v>
      </c>
      <c r="J18" s="7" t="n">
        <v>-1</v>
      </c>
      <c r="K18" s="7" t="n">
        <v>2</v>
      </c>
      <c r="L18" s="10" t="n">
        <v>0.5662623418957691</v>
      </c>
      <c r="M18" s="10" t="n">
        <v>0.7419220263144504</v>
      </c>
    </row>
    <row r="19">
      <c r="B19" s="6" t="inlineStr">
        <is>
          <t>OZLUCE</t>
        </is>
      </c>
      <c r="C19" s="7" t="n">
        <v>15</v>
      </c>
      <c r="D19" s="7" t="n">
        <v>13</v>
      </c>
      <c r="E19" s="7">
        <f>D19-C19</f>
        <v/>
      </c>
      <c r="F19" s="7" t="n">
        <v>37</v>
      </c>
      <c r="G19" s="7" t="n">
        <v>43</v>
      </c>
      <c r="H19" s="7" t="n">
        <v>35</v>
      </c>
      <c r="I19" s="7" t="n">
        <v>42</v>
      </c>
      <c r="J19" s="7" t="n">
        <v>-2</v>
      </c>
      <c r="K19" s="7" t="n">
        <v>-1</v>
      </c>
      <c r="L19" s="10" t="n">
        <v>0.6305615726969649</v>
      </c>
      <c r="M19" s="10" t="n">
        <v>1.006004278483744</v>
      </c>
    </row>
    <row r="20">
      <c r="B20" s="6" t="inlineStr">
        <is>
          <t>FSM</t>
        </is>
      </c>
      <c r="C20" s="7" t="n">
        <v>8</v>
      </c>
      <c r="D20" s="7" t="n">
        <v>11</v>
      </c>
      <c r="E20" s="7">
        <f>D20-C20</f>
        <v/>
      </c>
      <c r="F20" s="7" t="n">
        <v>33</v>
      </c>
      <c r="G20" s="7" t="n">
        <v>34</v>
      </c>
      <c r="H20" s="7" t="n">
        <v>32</v>
      </c>
      <c r="I20" s="7" t="n">
        <v>32</v>
      </c>
      <c r="J20" s="7" t="n">
        <v>-1</v>
      </c>
      <c r="K20" s="7" t="n">
        <v>-2</v>
      </c>
      <c r="L20" s="10" t="n">
        <v>0.8420521801677834</v>
      </c>
      <c r="M20" s="10" t="n">
        <v>1.235627544304747</v>
      </c>
    </row>
    <row r="21">
      <c r="B21" s="6" t="inlineStr">
        <is>
          <t>HEYKEL</t>
        </is>
      </c>
      <c r="C21" s="7" t="n">
        <v>12</v>
      </c>
      <c r="D21" s="7" t="n">
        <v>8</v>
      </c>
      <c r="E21" s="7">
        <f>D21-C21</f>
        <v/>
      </c>
      <c r="F21" s="7" t="n">
        <v>27</v>
      </c>
      <c r="G21" s="7" t="n">
        <v>29</v>
      </c>
      <c r="H21" s="7" t="n">
        <v>27</v>
      </c>
      <c r="I21" s="7" t="n">
        <v>26</v>
      </c>
      <c r="J21" s="7" t="n">
        <v>0</v>
      </c>
      <c r="K21" s="7" t="n">
        <v>-3</v>
      </c>
      <c r="L21" s="10" t="inlineStr">
        <is>
          <t>POS yok</t>
        </is>
      </c>
      <c r="M21" s="10" t="inlineStr">
        <is>
          <t>POS yok</t>
        </is>
      </c>
    </row>
    <row r="22">
      <c r="B22" s="6" t="inlineStr">
        <is>
          <t>SURA</t>
        </is>
      </c>
      <c r="C22" s="7" t="n">
        <v>6</v>
      </c>
      <c r="D22" s="7" t="n">
        <v>4</v>
      </c>
      <c r="E22" s="7">
        <f>D22-C22</f>
        <v/>
      </c>
      <c r="F22" s="7" t="n">
        <v>8</v>
      </c>
      <c r="G22" s="7" t="n">
        <v>10</v>
      </c>
      <c r="H22" s="7" t="n">
        <v>11</v>
      </c>
      <c r="I22" s="7" t="n">
        <v>12</v>
      </c>
      <c r="J22" s="7" t="n">
        <v>3</v>
      </c>
      <c r="K22" s="7" t="n">
        <v>2</v>
      </c>
      <c r="L22" s="10" t="inlineStr">
        <is>
          <t>POS yok</t>
        </is>
      </c>
      <c r="M22" s="10" t="inlineStr">
        <is>
          <t>POS yok</t>
        </is>
      </c>
    </row>
    <row r="23">
      <c r="B23" s="11" t="inlineStr">
        <is>
          <t>MAGAZALAR</t>
        </is>
      </c>
      <c r="C23" s="12">
        <f>SUM(C18:C22)</f>
        <v/>
      </c>
      <c r="D23" s="12">
        <f>SUM(D18:D22)</f>
        <v/>
      </c>
      <c r="E23" s="12">
        <f>D23-C23</f>
        <v/>
      </c>
      <c r="F23" s="12">
        <f>SUM(F18:F22)</f>
        <v/>
      </c>
      <c r="G23" s="12">
        <f>SUM(G18:G22)</f>
        <v/>
      </c>
      <c r="H23" s="12">
        <f>SUM(H18:H22)</f>
        <v/>
      </c>
      <c r="I23" s="12">
        <f>SUM(I18:I22)</f>
        <v/>
      </c>
      <c r="J23" s="12">
        <f>SUM(J18:J22)</f>
        <v/>
      </c>
      <c r="K23" s="12">
        <f>SUM(K18:K22)</f>
        <v/>
      </c>
      <c r="L23" s="13">
        <f>Detay!M9</f>
        <v/>
      </c>
      <c r="M23" s="13">
        <f>Detay!P9</f>
        <v/>
      </c>
    </row>
    <row r="24">
      <c r="B24" s="3" t="inlineStr">
        <is>
          <t>Kadro sayilari: SEZONLUK ve KADROLU = 31 Agustos'ta fiilen calisan · TABAN = 30 Haziran (sezon oncesi) · SEZON ICI = 31 Agu kadrolu - 30 Haz kadrolu. Is hacmi (fis/kalem/adet/ciro) penceresi: 1 TEMMUZ - 31 AGUSTOS, her iki yil ayni.</t>
        </is>
      </c>
    </row>
    <row r="25">
      <c r="B25" s="3" t="inlineStr">
        <is>
          <t>Heykel ve Sura EncoreMerkez POS'unda yok -&gt; is hacmi kolonlari bos; toplam yuzdeler uc POS magazasinin toplami (Detay sayfasi).</t>
        </is>
      </c>
    </row>
    <row r="27">
      <c r="B27" s="4" t="inlineStr">
        <is>
          <t>3 · UC ITIRAZ, UC CEVAP</t>
        </is>
      </c>
    </row>
    <row r="28" ht="30" customHeight="1">
      <c r="B28" s="5" t="inlineStr">
        <is>
          <t>Itiraz</t>
        </is>
      </c>
      <c r="C28" s="5" t="inlineStr">
        <is>
          <t>Cevap</t>
        </is>
      </c>
    </row>
    <row r="29" ht="34" customHeight="1">
      <c r="B29" s="6" t="inlineStr">
        <is>
          <t>Ama toplam ciro ayni kaldi</t>
        </is>
      </c>
      <c r="C29" s="14" t="inlineStr">
        <is>
          <t>251,1M -&gt; 249,0M TL. Sebebi Sinav Okullari: kurumsal ciro 189,5M -&gt; 132,0M (-%30), belge 4.187 -&gt; 2.220. O dusus kasada/rafta/depoda is yuku azaltmaz. Magaza tarafi +%97.</t>
        </is>
      </c>
    </row>
    <row r="30" ht="34" customHeight="1">
      <c r="B30" s="6" t="inlineStr">
        <is>
          <t>Ciro enflasyonla sisti</t>
        </is>
      </c>
      <c r="C30" s="14" t="inlineStr">
        <is>
          <t>Kismen: birim fiyat 121,5 -&gt; 143,8 TL (+%18). Bu yuzden olcut ADET: urun adedi +%67 ve adet fiyattan etkilenmez.</t>
        </is>
      </c>
    </row>
    <row r="31" ht="34" customHeight="1">
      <c r="B31" s="6" t="inlineStr">
        <is>
          <t>Fisi bolduniz, islem sayisi yapay artti</t>
        </is>
      </c>
      <c r="C31" s="14" t="inlineStr">
        <is>
          <t>Sepet basina urun 5,26 -&gt; 5,14 (ayni), sepet tutari 640 -&gt; 739 TL (artti). Bolunme olsaydi ikisi de duserdi.</t>
        </is>
      </c>
    </row>
    <row r="33">
      <c r="B33" s="4" t="inlineStr">
        <is>
          <t>4 · DUZELTMEMIZ GEREKEN TARAF</t>
        </is>
      </c>
    </row>
    <row r="34">
      <c r="B34" s="15" t="inlineStr">
        <is>
          <t>Kadrolu alimlarda 14 gun tutunma %92 -&gt; %75; 18 kisi Eylul'u gormeden ayrildi (gecen yil 6) = ayni pozisyonu iki kez doldurma maliyeti. En bozuk uc nokta: Ozluce, Heykel, Merkez Depo. Aksiyon: ilk hafta karsilama protokolu + Idari Isler pozisyonunda ucret-vardiya revizyonu. Olcut: gelecek sezon Eylul oncesi kayip %20 -&gt; %12.</t>
        </is>
      </c>
    </row>
    <row r="35"/>
  </sheetData>
  <mergeCells count="2">
    <mergeCell ref="B34:K35"/>
    <mergeCell ref="B3:J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3" customWidth="1" min="11" max="11"/>
    <col width="13" customWidth="1" min="12" max="12"/>
    <col width="9" customWidth="1" min="13" max="13"/>
    <col width="15" customWidth="1" min="14" max="14"/>
    <col width="15" customWidth="1" min="15" max="15"/>
    <col width="9" customWidth="1" min="16" max="16"/>
    <col width="12" customWidth="1" min="17" max="17"/>
    <col width="12" customWidth="1" min="18" max="18"/>
    <col width="11" customWidth="1" min="19" max="19"/>
    <col width="11" customWidth="1" min="20" max="20"/>
    <col width="11" customWidth="1" min="21" max="21"/>
    <col width="14" customWidth="1" min="22" max="22"/>
    <col width="14" customWidth="1" min="23" max="23"/>
    <col width="12" customWidth="1" min="24" max="24"/>
    <col width="12" customWidth="1" min="25" max="25"/>
    <col width="13" customWidth="1" min="26" max="26"/>
    <col width="13" customWidth="1" min="27" max="27"/>
    <col width="13" customWidth="1" min="28" max="28"/>
    <col width="13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</cols>
  <sheetData>
    <row r="1">
      <c r="A1" s="1" t="inlineStr">
        <is>
          <t>DETAY — ARTAN IS HACMI (1 Temmuz – 31 Agustos, her iki yil ayni pencere)</t>
        </is>
      </c>
    </row>
    <row r="2">
      <c r="A2" s="3" t="inlineStr">
        <is>
          <t>1 Temmuz - 31 Agustos, perakende satis fisi (DocumentsTypeId=1), SalesProducts.IsValid=1</t>
        </is>
      </c>
    </row>
    <row r="3">
      <c r="A3" s="3" t="inlineStr">
        <is>
          <t>Kadro: 31 Agustos'ta o subede aktif calisan (Zirve, kafe personeli haric) · Kaynak: EncoreMerkez dbo.Sales + dbo.SalesProducts (MCP: sqlserver)</t>
        </is>
      </c>
    </row>
    <row r="5" ht="30" customHeight="1">
      <c r="A5" s="5" t="inlineStr">
        <is>
          <t>Magaza</t>
        </is>
      </c>
      <c r="B5" s="5" t="inlineStr">
        <is>
          <t>Kadro 25</t>
        </is>
      </c>
      <c r="C5" s="5" t="inlineStr">
        <is>
          <t>Kadro 26</t>
        </is>
      </c>
      <c r="D5" s="5" t="inlineStr">
        <is>
          <t>Kadro Δ</t>
        </is>
      </c>
      <c r="E5" s="5" t="inlineStr">
        <is>
          <t>Fis 25</t>
        </is>
      </c>
      <c r="F5" s="5" t="inlineStr">
        <is>
          <t>Fis 26</t>
        </is>
      </c>
      <c r="G5" s="5" t="inlineStr">
        <is>
          <t>Fis Δ</t>
        </is>
      </c>
      <c r="H5" s="5" t="inlineStr">
        <is>
          <t>Kalem 25</t>
        </is>
      </c>
      <c r="I5" s="5" t="inlineStr">
        <is>
          <t>Kalem 26</t>
        </is>
      </c>
      <c r="J5" s="5" t="inlineStr">
        <is>
          <t>Kalem Δ</t>
        </is>
      </c>
      <c r="K5" s="5" t="inlineStr">
        <is>
          <t>Urun adedi 25</t>
        </is>
      </c>
      <c r="L5" s="5" t="inlineStr">
        <is>
          <t>Urun adedi 26</t>
        </is>
      </c>
      <c r="M5" s="5" t="inlineStr">
        <is>
          <t>Adet Δ</t>
        </is>
      </c>
      <c r="N5" s="5" t="inlineStr">
        <is>
          <t>Net ciro 25</t>
        </is>
      </c>
      <c r="O5" s="5" t="inlineStr">
        <is>
          <t>Net ciro 26</t>
        </is>
      </c>
      <c r="P5" s="5" t="inlineStr">
        <is>
          <t>Ciro Δ</t>
        </is>
      </c>
      <c r="Q5" s="5" t="inlineStr">
        <is>
          <t>Adet/kisi 25</t>
        </is>
      </c>
      <c r="R5" s="5" t="inlineStr">
        <is>
          <t>Adet/kisi 26</t>
        </is>
      </c>
      <c r="S5" s="5" t="inlineStr">
        <is>
          <t>Adet/kisi Δ</t>
        </is>
      </c>
      <c r="T5" s="5" t="inlineStr">
        <is>
          <t>Fis/kisi 25</t>
        </is>
      </c>
      <c r="U5" s="5" t="inlineStr">
        <is>
          <t>Fis/kisi 26</t>
        </is>
      </c>
      <c r="V5" s="5" t="inlineStr">
        <is>
          <t>Ciro/kisi 25</t>
        </is>
      </c>
      <c r="W5" s="5" t="inlineStr">
        <is>
          <t>Ciro/kisi 26</t>
        </is>
      </c>
      <c r="X5" s="5" t="inlineStr">
        <is>
          <t>Sepet adet 25</t>
        </is>
      </c>
      <c r="Y5" s="5" t="inlineStr">
        <is>
          <t>Sepet adet 26</t>
        </is>
      </c>
      <c r="Z5" s="5" t="inlineStr">
        <is>
          <t>Sepet tutar 25</t>
        </is>
      </c>
      <c r="AA5" s="5" t="inlineStr">
        <is>
          <t>Sepet tutar 26</t>
        </is>
      </c>
      <c r="AB5" s="5" t="inlineStr">
        <is>
          <t>Birim fiyat 25</t>
        </is>
      </c>
      <c r="AC5" s="5" t="inlineStr">
        <is>
          <t>Birim fiyat 26</t>
        </is>
      </c>
      <c r="AD5" s="5" t="inlineStr">
        <is>
          <t>Iade belge 25</t>
        </is>
      </c>
      <c r="AE5" s="5" t="inlineStr">
        <is>
          <t>Iade belge 26</t>
        </is>
      </c>
      <c r="AF5" s="5" t="inlineStr">
        <is>
          <t>Sinav belge 25</t>
        </is>
      </c>
      <c r="AG5" s="5" t="inlineStr">
        <is>
          <t>Sinav belge 26</t>
        </is>
      </c>
      <c r="AH5" s="5" t="inlineStr">
        <is>
          <t>Sinav ciro 25</t>
        </is>
      </c>
      <c r="AI5" s="5" t="inlineStr">
        <is>
          <t>Sinav ciro 26</t>
        </is>
      </c>
    </row>
    <row r="6">
      <c r="A6" s="6" t="inlineStr">
        <is>
          <t>IST. YOLU</t>
        </is>
      </c>
      <c r="B6" s="7" t="n">
        <v>50</v>
      </c>
      <c r="C6" s="7" t="n">
        <v>61</v>
      </c>
      <c r="D6" s="10">
        <f>IF(B6=0,"",C6/B6-1)</f>
        <v/>
      </c>
      <c r="E6" s="16" t="n">
        <v>26266</v>
      </c>
      <c r="F6" s="16" t="n">
        <v>41656</v>
      </c>
      <c r="G6" s="10">
        <f>IF(E6=0,"",F6/E6-1)</f>
        <v/>
      </c>
      <c r="H6" s="16" t="n">
        <v>122521</v>
      </c>
      <c r="I6" s="16" t="n">
        <v>193759</v>
      </c>
      <c r="J6" s="10">
        <f>IF(H6=0,"",I6/H6-1)</f>
        <v/>
      </c>
      <c r="K6" s="16" t="n">
        <v>148478</v>
      </c>
      <c r="L6" s="16" t="n">
        <v>232555.5</v>
      </c>
      <c r="M6" s="10">
        <f>IF(K6=0,"",L6/K6-1)</f>
        <v/>
      </c>
      <c r="N6" s="17" t="n">
        <v>19439731.87</v>
      </c>
      <c r="O6" s="17" t="n">
        <v>33862497.13</v>
      </c>
      <c r="P6" s="10">
        <f>IF(N6=0,"",O6/N6-1)</f>
        <v/>
      </c>
      <c r="Q6" s="16">
        <f>IF(B6=0,"",K6/B6)</f>
        <v/>
      </c>
      <c r="R6" s="16">
        <f>IF(C6=0,"",L6/C6)</f>
        <v/>
      </c>
      <c r="S6" s="10">
        <f>IF(Q6=0,"",R6/Q6-1)</f>
        <v/>
      </c>
      <c r="T6" s="16">
        <f>IF(B6=0,"",E6/B6)</f>
        <v/>
      </c>
      <c r="U6" s="16">
        <f>IF(C6=0,"",F6/C6)</f>
        <v/>
      </c>
      <c r="V6" s="17">
        <f>IF(B6=0,"",N6/B6)</f>
        <v/>
      </c>
      <c r="W6" s="17">
        <f>IF(C6=0,"",O6/C6)</f>
        <v/>
      </c>
      <c r="X6" s="18">
        <f>IF(E6=0,"",K6/E6)</f>
        <v/>
      </c>
      <c r="Y6" s="18">
        <f>IF(F6=0,"",L6/F6)</f>
        <v/>
      </c>
      <c r="Z6" s="17">
        <f>IF(E6=0,"",N6/E6)</f>
        <v/>
      </c>
      <c r="AA6" s="17">
        <f>IF(F6=0,"",O6/F6)</f>
        <v/>
      </c>
      <c r="AB6" s="17">
        <f>IF(K6=0,"",N6/K6)</f>
        <v/>
      </c>
      <c r="AC6" s="17">
        <f>IF(L6=0,"",O6/L6)</f>
        <v/>
      </c>
      <c r="AD6" s="16" t="n">
        <v>1400</v>
      </c>
      <c r="AE6" s="16" t="n">
        <v>2102</v>
      </c>
      <c r="AF6" s="16" t="n">
        <v>3457</v>
      </c>
      <c r="AG6" s="16" t="n">
        <v>2056</v>
      </c>
      <c r="AH6" s="17" t="n">
        <v>156280732.15</v>
      </c>
      <c r="AI6" s="17" t="n">
        <v>121764592.09</v>
      </c>
    </row>
    <row r="7">
      <c r="A7" s="6" t="inlineStr">
        <is>
          <t>FSM</t>
        </is>
      </c>
      <c r="B7" s="7" t="n">
        <v>40</v>
      </c>
      <c r="C7" s="7" t="n">
        <v>43</v>
      </c>
      <c r="D7" s="10">
        <f>IF(B7=0,"",C7/B7-1)</f>
        <v/>
      </c>
      <c r="E7" s="16" t="n">
        <v>28121</v>
      </c>
      <c r="F7" s="16" t="n">
        <v>50936</v>
      </c>
      <c r="G7" s="10">
        <f>IF(E7=0,"",F7/E7-1)</f>
        <v/>
      </c>
      <c r="H7" s="16" t="n">
        <v>105423</v>
      </c>
      <c r="I7" s="16" t="n">
        <v>196374</v>
      </c>
      <c r="J7" s="10">
        <f>IF(H7=0,"",I7/H7-1)</f>
        <v/>
      </c>
      <c r="K7" s="16" t="n">
        <v>127903</v>
      </c>
      <c r="L7" s="16" t="n">
        <v>235604</v>
      </c>
      <c r="M7" s="10">
        <f>IF(K7=0,"",L7/K7-1)</f>
        <v/>
      </c>
      <c r="N7" s="17" t="n">
        <v>14408386.04</v>
      </c>
      <c r="O7" s="17" t="n">
        <v>32211784.7</v>
      </c>
      <c r="P7" s="10">
        <f>IF(N7=0,"",O7/N7-1)</f>
        <v/>
      </c>
      <c r="Q7" s="16">
        <f>IF(B7=0,"",K7/B7)</f>
        <v/>
      </c>
      <c r="R7" s="16">
        <f>IF(C7=0,"",L7/C7)</f>
        <v/>
      </c>
      <c r="S7" s="10">
        <f>IF(Q7=0,"",R7/Q7-1)</f>
        <v/>
      </c>
      <c r="T7" s="16">
        <f>IF(B7=0,"",E7/B7)</f>
        <v/>
      </c>
      <c r="U7" s="16">
        <f>IF(C7=0,"",F7/C7)</f>
        <v/>
      </c>
      <c r="V7" s="17">
        <f>IF(B7=0,"",N7/B7)</f>
        <v/>
      </c>
      <c r="W7" s="17">
        <f>IF(C7=0,"",O7/C7)</f>
        <v/>
      </c>
      <c r="X7" s="18">
        <f>IF(E7=0,"",K7/E7)</f>
        <v/>
      </c>
      <c r="Y7" s="18">
        <f>IF(F7=0,"",L7/F7)</f>
        <v/>
      </c>
      <c r="Z7" s="17">
        <f>IF(E7=0,"",N7/E7)</f>
        <v/>
      </c>
      <c r="AA7" s="17">
        <f>IF(F7=0,"",O7/F7)</f>
        <v/>
      </c>
      <c r="AB7" s="17">
        <f>IF(K7=0,"",N7/K7)</f>
        <v/>
      </c>
      <c r="AC7" s="17">
        <f>IF(L7=0,"",O7/L7)</f>
        <v/>
      </c>
      <c r="AD7" s="16" t="n">
        <v>1124</v>
      </c>
      <c r="AE7" s="16" t="n">
        <v>2044</v>
      </c>
      <c r="AF7" s="16" t="n">
        <v>0</v>
      </c>
      <c r="AG7" s="16" t="n">
        <v>0</v>
      </c>
      <c r="AH7" s="17" t="n">
        <v>0</v>
      </c>
      <c r="AI7" s="17" t="n">
        <v>0</v>
      </c>
    </row>
    <row r="8">
      <c r="A8" s="6" t="inlineStr">
        <is>
          <t>OZLUCE</t>
        </is>
      </c>
      <c r="B8" s="7" t="n">
        <v>50</v>
      </c>
      <c r="C8" s="7" t="n">
        <v>55</v>
      </c>
      <c r="D8" s="10">
        <f>IF(B8=0,"",C8/B8-1)</f>
        <v/>
      </c>
      <c r="E8" s="16" t="n">
        <v>36179</v>
      </c>
      <c r="F8" s="16" t="n">
        <v>62188</v>
      </c>
      <c r="G8" s="10">
        <f>IF(E8=0,"",F8/E8-1)</f>
        <v/>
      </c>
      <c r="H8" s="16" t="n">
        <v>166018</v>
      </c>
      <c r="I8" s="16" t="n">
        <v>276307</v>
      </c>
      <c r="J8" s="10">
        <f>IF(H8=0,"",I8/H8-1)</f>
        <v/>
      </c>
      <c r="K8" s="16" t="n">
        <v>200399.7</v>
      </c>
      <c r="L8" s="16" t="n">
        <v>326764.05</v>
      </c>
      <c r="M8" s="10">
        <f>IF(K8=0,"",L8/K8-1)</f>
        <v/>
      </c>
      <c r="N8" s="17" t="n">
        <v>24059037.3</v>
      </c>
      <c r="O8" s="17" t="n">
        <v>48262531.76</v>
      </c>
      <c r="P8" s="10">
        <f>IF(N8=0,"",O8/N8-1)</f>
        <v/>
      </c>
      <c r="Q8" s="16">
        <f>IF(B8=0,"",K8/B8)</f>
        <v/>
      </c>
      <c r="R8" s="16">
        <f>IF(C8=0,"",L8/C8)</f>
        <v/>
      </c>
      <c r="S8" s="10">
        <f>IF(Q8=0,"",R8/Q8-1)</f>
        <v/>
      </c>
      <c r="T8" s="16">
        <f>IF(B8=0,"",E8/B8)</f>
        <v/>
      </c>
      <c r="U8" s="16">
        <f>IF(C8=0,"",F8/C8)</f>
        <v/>
      </c>
      <c r="V8" s="17">
        <f>IF(B8=0,"",N8/B8)</f>
        <v/>
      </c>
      <c r="W8" s="17">
        <f>IF(C8=0,"",O8/C8)</f>
        <v/>
      </c>
      <c r="X8" s="18">
        <f>IF(E8=0,"",K8/E8)</f>
        <v/>
      </c>
      <c r="Y8" s="18">
        <f>IF(F8=0,"",L8/F8)</f>
        <v/>
      </c>
      <c r="Z8" s="17">
        <f>IF(E8=0,"",N8/E8)</f>
        <v/>
      </c>
      <c r="AA8" s="17">
        <f>IF(F8=0,"",O8/F8)</f>
        <v/>
      </c>
      <c r="AB8" s="17">
        <f>IF(K8=0,"",N8/K8)</f>
        <v/>
      </c>
      <c r="AC8" s="17">
        <f>IF(L8=0,"",O8/L8)</f>
        <v/>
      </c>
      <c r="AD8" s="16" t="n">
        <v>1643</v>
      </c>
      <c r="AE8" s="16" t="n">
        <v>2678</v>
      </c>
      <c r="AF8" s="16" t="n">
        <v>0</v>
      </c>
      <c r="AG8" s="16" t="n">
        <v>0</v>
      </c>
      <c r="AH8" s="17" t="n">
        <v>0</v>
      </c>
      <c r="AI8" s="17" t="n">
        <v>0</v>
      </c>
    </row>
    <row r="9">
      <c r="A9" s="11" t="inlineStr">
        <is>
          <t>UC MAGAZA</t>
        </is>
      </c>
      <c r="B9" s="12">
        <f>SUM(B6:B8)</f>
        <v/>
      </c>
      <c r="C9" s="12">
        <f>SUM(C6:C8)</f>
        <v/>
      </c>
      <c r="D9" s="13">
        <f>IF(B9=0,"",C9/B9-1)</f>
        <v/>
      </c>
      <c r="E9" s="19">
        <f>SUM(E6:E8)</f>
        <v/>
      </c>
      <c r="F9" s="19">
        <f>SUM(F6:F8)</f>
        <v/>
      </c>
      <c r="G9" s="13">
        <f>IF(E9=0,"",F9/E9-1)</f>
        <v/>
      </c>
      <c r="H9" s="19">
        <f>SUM(H6:H8)</f>
        <v/>
      </c>
      <c r="I9" s="19">
        <f>SUM(I6:I8)</f>
        <v/>
      </c>
      <c r="J9" s="13">
        <f>IF(H9=0,"",I9/H9-1)</f>
        <v/>
      </c>
      <c r="K9" s="19">
        <f>SUM(K6:K8)</f>
        <v/>
      </c>
      <c r="L9" s="19">
        <f>SUM(L6:L8)</f>
        <v/>
      </c>
      <c r="M9" s="13">
        <f>IF(K9=0,"",L9/K9-1)</f>
        <v/>
      </c>
      <c r="N9" s="20">
        <f>SUM(N6:N8)</f>
        <v/>
      </c>
      <c r="O9" s="20">
        <f>SUM(O6:O8)</f>
        <v/>
      </c>
      <c r="P9" s="13">
        <f>IF(N9=0,"",O9/N9-1)</f>
        <v/>
      </c>
      <c r="Q9" s="19">
        <f>K9/B9</f>
        <v/>
      </c>
      <c r="R9" s="19">
        <f>L9/C9</f>
        <v/>
      </c>
      <c r="S9" s="13">
        <f>IF(Q9=0,"",R9/Q9-1)</f>
        <v/>
      </c>
      <c r="T9" s="19">
        <f>E9/B9</f>
        <v/>
      </c>
      <c r="U9" s="19">
        <f>F9/C9</f>
        <v/>
      </c>
      <c r="V9" s="20">
        <f>N9/B9</f>
        <v/>
      </c>
      <c r="W9" s="20">
        <f>O9/C9</f>
        <v/>
      </c>
      <c r="X9" s="21">
        <f>K9/E9</f>
        <v/>
      </c>
      <c r="Y9" s="21">
        <f>L9/F9</f>
        <v/>
      </c>
      <c r="Z9" s="20">
        <f>N9/E9</f>
        <v/>
      </c>
      <c r="AA9" s="20">
        <f>O9/F9</f>
        <v/>
      </c>
      <c r="AB9" s="20">
        <f>N9/K9</f>
        <v/>
      </c>
      <c r="AC9" s="20">
        <f>O9/L9</f>
        <v/>
      </c>
      <c r="AD9" s="19">
        <f>SUM(AD6:AD8)</f>
        <v/>
      </c>
      <c r="AE9" s="19">
        <f>SUM(AE6:AE8)</f>
        <v/>
      </c>
      <c r="AF9" s="19">
        <f>SUM(AF6:AF8)</f>
        <v/>
      </c>
      <c r="AG9" s="19">
        <f>SUM(AG6:AG8)</f>
        <v/>
      </c>
      <c r="AH9" s="20">
        <f>SUM(AH6:AH8)</f>
        <v/>
      </c>
      <c r="AI9" s="20">
        <f>SUM(AI6:AI8)</f>
        <v/>
      </c>
    </row>
    <row r="29">
      <c r="A29" s="22" t="inlineStr">
        <is>
          <t>OLCUT KATMANLARI: fis = islem sayisi · kalem/urun adedi = fiziksel ellecleme · net ciro = KDV haric, iadeler dusulmus.</t>
        </is>
      </c>
    </row>
    <row r="30">
      <c r="A30" s="22" t="inlineStr">
        <is>
          <t>Ciro fiyat artisindan sisebilir (birim fiyat +%18); URUN ADEDI sismez -&gt; kadro savunmasinda birincil olcut adet.</t>
        </is>
      </c>
    </row>
    <row r="31">
      <c r="A31" s="22" t="inlineStr">
        <is>
          <t>Sinav Okullari (belge tipi 8) kurumsal kanaldir: 2026'da belge 3.457 -&gt; 2.056, ciro 156,3M -&gt; 121,8M TL. Toplam ciroyu asagi ceken kalem budur; magaza is yukunu azaltmaz.</t>
        </is>
      </c>
    </row>
    <row r="32">
      <c r="A32" s="22" t="inlineStr">
        <is>
          <t>Iade belgesi de is yuku uretir: uc magazada 4.167 -&gt; 6.824 adet.</t>
        </is>
      </c>
    </row>
    <row r="33">
      <c r="A33" s="22" t="inlineStr">
        <is>
          <t>Heykel ve Sura EncoreMerkez POS'unda YOK -&gt; bu tabloda yer almaz; kadro karsilastirmasi da ayni 3 magaza (140 -&gt; 159 kisi). Kafe fisi magaza StoresId'sine dusuyorsa kisi-basi oran hafif sisebilir. Urun adedi ENFLASYONDAN BAGIMSIZ olcut.</t>
        </is>
      </c>
    </row>
    <row r="34">
      <c r="A34" s="22" t="inlineStr">
        <is>
          <t>Cekirdek SQL: sorgular/2026-09-02-kadro-vs-is-hacmi-savunma.sql (blok 10) · kadro: sorgular/2026-09-02-sezon-personel-kohort-magaza.sql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2026-09-02T10:39:03Z</dcterms:created>
  <dcterms:modified xmlns:dcterms="http://purl.org/dc/terms/" xmlns:xsi="http://www.w3.org/2001/XMLSchema-instance" xsi:type="dcterms:W3CDTF">2026-09-02T10:39:03Z</dcterms:modified>
</cp:coreProperties>
</file>