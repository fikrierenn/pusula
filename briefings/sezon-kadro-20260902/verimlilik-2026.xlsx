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Yontem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 kişi;-0 kişi"/>
    <numFmt numFmtId="171" formatCode="+0,0%"/>
    <numFmt numFmtId="172" formatCode="0,0&quot;x&quot;"/>
  </numFmts>
  <fonts count="1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6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10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170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top" wrapText="1"/>
    </xf>
    <xf numFmtId="171" fontId="12" fillId="0" borderId="0" applyAlignment="1" pivotButton="0" quotePrefix="0" xfId="0">
      <alignment horizontal="right" vertical="center"/>
    </xf>
    <xf numFmtId="172" fontId="12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%35 arttı.</t>
        </is>
      </c>
      <c r="C11" s="7">
        <f>'Ozet'!E8</f>
        <v/>
      </c>
    </row>
    <row r="12" ht="26" customHeight="1">
      <c r="B12" s="6" t="inlineStr">
        <is>
          <t>574.718 → 775.192 adet. 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%71 arttı.</t>
        </is>
      </c>
      <c r="C13" s="7">
        <f>'Ozet'!E10</f>
        <v/>
      </c>
    </row>
    <row r="14" ht="26" customHeight="1">
      <c r="B14" s="6" t="inlineStr">
        <is>
          <t>71,8 milyon → 122,6 milyon ₺ (KDV dahil, iadeler düşülmüş).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4.019 → 4.845 adet; günlük 71,8 → 86,5 adet.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'Ozet'!B17</f>
        <v/>
      </c>
    </row>
    <row r="18" ht="26" customHeight="1">
      <c r="B18" s="6" t="inlineStr">
        <is>
          <t>Ürün adedi +%34,9 · kadro +%11,9.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+0 · Mal Kabul +0 · İdari İşler +0. Artış: Yardımcı Kitap +6 · Kırtasiye +3 · Kasa +2.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−%22,4 küçüldü; mağaza tarafı +%54,9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574717.7</v>
      </c>
      <c r="C8" s="17" t="n">
        <v>775191.55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66929723.56999852</v>
      </c>
      <c r="C9" s="17" t="n">
        <v>114687785.58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71837429.11999343</v>
      </c>
      <c r="C10" s="17" t="n">
        <v>122601380.8499947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173398</v>
      </c>
      <c r="F4" s="17" t="n">
        <v>258168.5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20455158.42999981</v>
      </c>
      <c r="N4" s="17" t="n">
        <v>40444611.76999976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28347121.58999882</v>
      </c>
      <c r="N5" s="17" t="n">
        <v>44784483.14999945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18127443.54999989</v>
      </c>
      <c r="N6" s="17" t="n">
        <v>29458690.66000078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18.5043249700029</v>
      </c>
      <c r="G4" s="34" t="n">
        <v>32.38086690000142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0.3747245332289066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10.02370844000001</v>
      </c>
      <c r="G5" s="34" t="n">
        <v>15.50422909000001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0.5770282964720019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14.49106598999973</v>
      </c>
      <c r="G6" s="34" t="n">
        <v>23.14058788999986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0.4921459875658136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0.02740152000000001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1.797673394233621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11.13631268</v>
      </c>
      <c r="G8" s="34" t="n">
        <v>16.74884972000006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0.6655996445023109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1.475290260000008</v>
      </c>
      <c r="G9" s="34" t="n">
        <v>2.616103030000003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1.258006023303491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38847</v>
      </c>
      <c r="D10" s="17" t="n">
        <v>54032</v>
      </c>
      <c r="E10" s="44">
        <f>D10/C10-1</f>
        <v/>
      </c>
      <c r="F10" s="34" t="n">
        <v>11.66512254</v>
      </c>
      <c r="G10" s="34" t="n">
        <v>22.35794457999994</v>
      </c>
      <c r="H10" s="44">
        <f>G10/F10-1</f>
        <v/>
      </c>
      <c r="I10" s="17" t="n">
        <v>218946</v>
      </c>
      <c r="J10" s="17" t="n">
        <v>266564</v>
      </c>
      <c r="K10" s="19">
        <f>IF(OR(I10="—",J10="—"),"",J10/I10-1)</f>
        <v/>
      </c>
      <c r="L10" s="19" t="n">
        <v>0.4621370345582292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</v>
      </c>
      <c r="G11" s="34" t="n">
        <v>1.187673780000001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0.4636366398909368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1.942142249999998</v>
      </c>
      <c r="G12" s="34" t="n">
        <v>6.643827519999992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1.769093453522593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0.2846255699999998</v>
      </c>
      <c r="G13" s="34" t="n">
        <v>0.4203621899999997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0.5224217348514228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1.257655950000001</v>
      </c>
      <c r="G14" s="34" t="n">
        <v>0.9961937400000004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0.4008427609025746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0.2656298399999997</v>
      </c>
      <c r="G15" s="34" t="n">
        <v>0.3784858199999995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0.4999858989104862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33.37095816000334</v>
      </c>
      <c r="F4" s="34" t="n">
        <v>49.92745520000055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367353</v>
      </c>
      <c r="D5" s="44">
        <f>C5/B5-1</f>
        <v/>
      </c>
      <c r="E5" s="34" t="n">
        <v>32.14602051000339</v>
      </c>
      <c r="F5" s="34" t="n">
        <v>55.81932909000084</v>
      </c>
      <c r="G5" s="44">
        <f>F5/E5-1</f>
        <v/>
      </c>
    </row>
    <row r="6">
      <c r="A6" s="16" t="inlineStr">
        <is>
          <t>Ağustos</t>
        </is>
      </c>
      <c r="B6" s="17" t="n">
        <v>458508.7</v>
      </c>
      <c r="C6" s="17" t="n">
        <v>483658.55</v>
      </c>
      <c r="D6" s="44">
        <f>C6/B6-1</f>
        <v/>
      </c>
      <c r="E6" s="34" t="n">
        <v>61.34527556000126</v>
      </c>
      <c r="F6" s="34" t="n">
        <v>78.15309667999897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26.08.2025  vs  07.08 – 01.09.2026  (26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+%34.6 · ciro +%67.7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458.509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483.659 adet · 78.2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617.297 adet · 102.9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133.638 adet · 24.7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(27.08 - 07.09.2025)</t>
        </is>
      </c>
      <c r="B16" s="16" t="inlineStr">
        <is>
          <t>431.358 adet · 56.9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(02.09 - 13.09.2026)</t>
        </is>
      </c>
      <c r="B17" s="51" t="inlineStr">
        <is>
          <t>580.744 adet · 95.5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%34.6 · ciro %67.7) 2025 Ağustos toplamına uygulanarak kayma-arındırılmış Ağustos bulunur. VARSAYIM: talep kaybı yok, yalnız zamanlama kaydı. Bugünün verisi HARİÇ (eTip 100 gün içinde yeniden yazılır); son tam gün 01.09.2026.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2064284.43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2296833.43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2752385.04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3607308.91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2752385.04</v>
      </c>
      <c r="C4" s="17" t="n">
        <v>3607308.91</v>
      </c>
      <c r="D4" s="19">
        <f>C4/B4-1</f>
        <v/>
      </c>
      <c r="E4" s="17" t="n">
        <v>316059798.2201092</v>
      </c>
      <c r="F4" s="17" t="n">
        <v>489433287.7801834</v>
      </c>
      <c r="G4" s="19">
        <f>F4/E4-1</f>
        <v/>
      </c>
    </row>
    <row r="5">
      <c r="A5" s="16" t="inlineStr">
        <is>
          <t>Sinav Okullari (kurumsal)</t>
        </is>
      </c>
      <c r="B5" s="17" t="n">
        <v>33584</v>
      </c>
      <c r="C5" s="17" t="n">
        <v>21693</v>
      </c>
      <c r="D5" s="19">
        <f>C5/B5-1</f>
        <v/>
      </c>
      <c r="E5" s="17" t="n">
        <v>136108071.4499997</v>
      </c>
      <c r="F5" s="17" t="n">
        <v>105575646.1100001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</t>
        </is>
      </c>
      <c r="B3" s="13" t="inlineStr">
        <is>
          <t>Norm kadrolu</t>
        </is>
      </c>
      <c r="C3" s="13" t="inlineStr">
        <is>
          <t>Kadrolu 31.08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41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54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34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45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36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61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Kültür</t>
        </is>
      </c>
      <c r="B13" s="17" t="n">
        <v>22</v>
      </c>
      <c r="C13" s="17" t="n">
        <v>20</v>
      </c>
      <c r="D13" s="55" t="n">
        <v>2</v>
      </c>
      <c r="E13" s="17" t="inlineStr">
        <is>
          <t>—</t>
        </is>
      </c>
      <c r="F13" s="17" t="n">
        <v>2</v>
      </c>
    </row>
    <row r="14">
      <c r="A14" s="16" t="inlineStr">
        <is>
          <t>Mağaza</t>
        </is>
      </c>
      <c r="B14" s="17" t="n">
        <v>10</v>
      </c>
      <c r="C14" s="17" t="n">
        <v>8</v>
      </c>
      <c r="D14" s="55" t="n">
        <v>2</v>
      </c>
      <c r="E14" s="17" t="inlineStr">
        <is>
          <t>—</t>
        </is>
      </c>
      <c r="F14" s="17" t="n">
        <v>0</v>
      </c>
    </row>
    <row r="15">
      <c r="A15" s="16" t="inlineStr">
        <is>
          <t>İdari̇ İşler</t>
        </is>
      </c>
      <c r="B15" s="17" t="n">
        <v>8</v>
      </c>
      <c r="C15" s="17" t="n">
        <v>6</v>
      </c>
      <c r="D15" s="55" t="n">
        <v>2</v>
      </c>
      <c r="E15" s="17" t="inlineStr">
        <is>
          <t>—</t>
        </is>
      </c>
      <c r="F15" s="17" t="n">
        <v>0</v>
      </c>
    </row>
    <row r="16">
      <c r="A16" s="16" t="inlineStr">
        <is>
          <t>Kasa</t>
        </is>
      </c>
      <c r="B16" s="17" t="n">
        <v>16</v>
      </c>
      <c r="C16" s="17" t="n">
        <v>15</v>
      </c>
      <c r="D16" s="55" t="n">
        <v>1</v>
      </c>
      <c r="E16" s="17" t="inlineStr">
        <is>
          <t>—</t>
        </is>
      </c>
      <c r="F16" s="17" t="n">
        <v>9</v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55" t="n">
        <v>1</v>
      </c>
      <c r="E17" s="17" t="inlineStr">
        <is>
          <t>—</t>
        </is>
      </c>
      <c r="F17" s="17" t="n">
        <v>0</v>
      </c>
    </row>
    <row r="18">
      <c r="A18" s="16" t="inlineStr">
        <is>
          <t>Oyun Alani</t>
        </is>
      </c>
      <c r="B18" s="17" t="n">
        <v>1</v>
      </c>
      <c r="C18" s="17" t="n">
        <v>0</v>
      </c>
      <c r="D18" s="55" t="n">
        <v>1</v>
      </c>
      <c r="E18" s="17" t="inlineStr">
        <is>
          <t>—</t>
        </is>
      </c>
      <c r="F18" s="17" t="n">
        <v>0</v>
      </c>
    </row>
    <row r="19">
      <c r="A19" s="16" t="inlineStr">
        <is>
          <t>Akademi̇</t>
        </is>
      </c>
      <c r="B19" s="17" t="n">
        <v>10</v>
      </c>
      <c r="C19" s="17" t="n">
        <v>9</v>
      </c>
      <c r="D19" s="55" t="n">
        <v>1</v>
      </c>
      <c r="E19" s="17" t="inlineStr">
        <is>
          <t>—</t>
        </is>
      </c>
      <c r="F19" s="17" t="n">
        <v>0</v>
      </c>
    </row>
    <row r="20">
      <c r="A20" s="16" t="inlineStr">
        <is>
          <t>Kiyafet</t>
        </is>
      </c>
      <c r="B20" s="17" t="n">
        <v>0</v>
      </c>
      <c r="C20" s="17" t="n">
        <v>0</v>
      </c>
      <c r="D20" s="17" t="inlineStr">
        <is>
          <t>—</t>
        </is>
      </c>
      <c r="E20" s="17" t="inlineStr">
        <is>
          <t>—</t>
        </is>
      </c>
      <c r="F20" s="17" t="n">
        <v>4</v>
      </c>
    </row>
    <row r="21">
      <c r="A21" s="16" t="inlineStr">
        <is>
          <t>Kirtasi̇ye</t>
        </is>
      </c>
      <c r="B21" s="17" t="n">
        <v>24</v>
      </c>
      <c r="C21" s="17" t="n">
        <v>25</v>
      </c>
      <c r="D21" s="17" t="inlineStr">
        <is>
          <t>—</t>
        </is>
      </c>
      <c r="E21" s="17" t="n">
        <v>1</v>
      </c>
      <c r="F21" s="17" t="n">
        <v>22</v>
      </c>
    </row>
    <row r="22">
      <c r="A22" s="16" t="inlineStr">
        <is>
          <t>Mal Kabul</t>
        </is>
      </c>
      <c r="B22" s="17" t="n">
        <v>6</v>
      </c>
      <c r="C22" s="17" t="n">
        <v>6</v>
      </c>
      <c r="D22" s="17" t="inlineStr">
        <is>
          <t>—</t>
        </is>
      </c>
      <c r="E22" s="17" t="inlineStr">
        <is>
          <t>—</t>
        </is>
      </c>
      <c r="F22" s="17" t="n">
        <v>1</v>
      </c>
    </row>
    <row r="23">
      <c r="A23" s="16" t="inlineStr">
        <is>
          <t>Yardimci Ki̇tap</t>
        </is>
      </c>
      <c r="B23" s="17" t="n">
        <v>18</v>
      </c>
      <c r="C23" s="17" t="n">
        <v>21</v>
      </c>
      <c r="D23" s="17" t="inlineStr">
        <is>
          <t>—</t>
        </is>
      </c>
      <c r="E23" s="17" t="n">
        <v>3</v>
      </c>
      <c r="F23" s="17" t="n">
        <v>15</v>
      </c>
    </row>
    <row r="24">
      <c r="A24" s="16" t="inlineStr">
        <is>
          <t>Etki̇nli̇k</t>
        </is>
      </c>
      <c r="B24" s="17" t="n">
        <v>0</v>
      </c>
      <c r="C24" s="17" t="n">
        <v>3</v>
      </c>
      <c r="D24" s="17" t="inlineStr">
        <is>
          <t>—</t>
        </is>
      </c>
      <c r="E24" s="17" t="n">
        <v>3</v>
      </c>
      <c r="F24" s="17" t="n">
        <v>0</v>
      </c>
    </row>
    <row r="25">
      <c r="A25" s="16" t="inlineStr">
        <is>
          <t>Oyuncak</t>
        </is>
      </c>
      <c r="B25" s="17" t="n">
        <v>10</v>
      </c>
      <c r="C25" s="17" t="n">
        <v>10</v>
      </c>
      <c r="D25" s="17" t="inlineStr">
        <is>
          <t>—</t>
        </is>
      </c>
      <c r="E25" s="17" t="inlineStr">
        <is>
          <t>—</t>
        </is>
      </c>
      <c r="F25" s="17" t="n">
        <v>0</v>
      </c>
    </row>
    <row r="26">
      <c r="A26" s="36" t="inlineStr">
        <is>
          <t>TOPLAM</t>
        </is>
      </c>
      <c r="B26" s="21" t="n">
        <v>145</v>
      </c>
      <c r="C26" s="21" t="n">
        <v>137</v>
      </c>
      <c r="D26" s="21" t="n">
        <v>15</v>
      </c>
      <c r="E26" s="21" t="n">
        <v>7</v>
      </c>
      <c r="F26" s="21" t="n">
        <v>58</v>
      </c>
    </row>
    <row r="28">
      <c r="A28" s="32" t="inlineStr">
        <is>
          <t>⚠ BOLUM acigi (15) MAGAZA acigindan (11) BUYUK: magaza icinde bir bolumun fazlasi baska bolumun acigini maskeler.</t>
        </is>
      </c>
    </row>
    <row r="29">
      <c r="A29" s="32" t="inlineStr">
        <is>
          <t>NORM SEZON DISI kadroyu tanimlar -&gt; sezonluk personel norma DAHIL DEGIL; kiyas yalniz KADROLU ile.</t>
        </is>
      </c>
    </row>
    <row r="30">
      <c r="A30" s="32" t="inlineStr">
        <is>
          <t>Norm kaynagi: norm-kadro-20260811.json (11.08.2026). Yonetim parametresi, Zirve'den sorgulanmaz.</t>
        </is>
      </c>
    </row>
    <row r="31">
      <c r="A31" s="32" t="inlineStr">
        <is>
          <t>KAPSAM DISI: Şura norm tablosunda yok.</t>
        </is>
      </c>
    </row>
    <row r="32">
      <c r="A32" s="32" t="inlineStr">
        <is>
          <t>Eksi fark = normun ALTINDA calisiliyor. Toplamda 31.08'de norm 145, gercek kadrolu 137.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56" t="inlineStr">
        <is>
          <t>Baslik</t>
        </is>
      </c>
      <c r="B3" s="57" t="inlineStr">
        <is>
          <t>Kişi başı iş hacmi — sezon 2026 vs 2025</t>
        </is>
      </c>
    </row>
    <row r="4" ht="30" customHeight="1">
      <c r="A4" s="56" t="inlineStr">
        <is>
          <t>Kesim tarihi</t>
        </is>
      </c>
      <c r="B4" s="57" t="inlineStr">
        <is>
          <t>otomatik (veri sonu, okul-hizalı pencerede)</t>
        </is>
      </c>
    </row>
    <row r="5" ht="30" customHeight="1">
      <c r="A5" s="56" t="inlineStr">
        <is>
          <t>Pencere</t>
        </is>
      </c>
      <c r="B5" s="57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56" t="inlineStr">
        <is>
          <t>Kadro kaynagi</t>
        </is>
      </c>
      <c r="B6" s="57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56" t="inlineStr">
        <is>
          <t>Is hacmi kaynagi</t>
        </is>
      </c>
      <c r="B7" s="57" t="inlineStr">
        <is>
          <t>DerinSIS irs/irsAyr eTip=100 (POS satışı), Sınav Okulları/Kıyafet hariç, iade netlenmiş</t>
        </is>
      </c>
    </row>
    <row r="8" ht="30" customHeight="1">
      <c r="A8" s="56" t="inlineStr">
        <is>
          <t>Cekirdek SQL</t>
        </is>
      </c>
      <c r="B8" s="57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58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58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58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58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58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58" t="inlineStr">
        <is>
          <t>• Fiş sayısı bu kaynakta yok: eTip 100 günlük özet belgedir (bir gün = bir belge).</t>
        </is>
      </c>
    </row>
    <row r="17" ht="28" customHeight="1">
      <c r="B17" s="58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2026-09-02T19:11:56Z</dcterms:created>
  <dcterms:modified xmlns:dcterms="http://purl.org/dc/terms/" xmlns:xsi="http://www.w3.org/2001/XMLSchema-instance" xsi:type="dcterms:W3CDTF">2026-09-02T19:11:56Z</dcterms:modified>
</cp:coreProperties>
</file>