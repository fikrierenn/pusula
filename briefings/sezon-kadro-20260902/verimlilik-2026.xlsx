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+0 kişi;-0 kişi"/>
    <numFmt numFmtId="172" formatCode="+0,0%"/>
    <numFmt numFmtId="173" formatCode="0,0&quot;x&quot;"/>
  </numFmts>
  <fonts count="18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b val="1"/>
      <color rgb="00A6001A"/>
      <sz val="9"/>
    </font>
    <font>
      <i val="1"/>
      <sz val="9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8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  <fill>
      <patternFill patternType="solid">
        <fgColor rgb="00EFEFE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2" fillId="0" borderId="0" pivotButton="0" quotePrefix="0" xfId="0"/>
    <xf numFmtId="0" fontId="5" fillId="0" borderId="0" pivotButton="0" quotePrefix="0" xfId="0"/>
    <xf numFmtId="0" fontId="13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71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vertical="top" wrapText="1"/>
    </xf>
    <xf numFmtId="172" fontId="15" fillId="0" borderId="0" applyAlignment="1" pivotButton="0" quotePrefix="0" xfId="0">
      <alignment horizontal="right" vertical="center"/>
    </xf>
    <xf numFmtId="173" fontId="15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0" fontId="9" fillId="0" borderId="0" pivotButton="0" quotePrefix="0" xfId="0"/>
    <xf numFmtId="166" fontId="3" fillId="0" borderId="1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10" fillId="0" borderId="0" pivotButton="0" quotePrefix="0" xfId="0"/>
    <xf numFmtId="10" fontId="0" fillId="0" borderId="1" pivotButton="0" quotePrefix="0" xfId="0"/>
    <xf numFmtId="166" fontId="0" fillId="5" borderId="1" pivotButton="0" quotePrefix="0" xfId="0"/>
    <xf numFmtId="3" fontId="0" fillId="5" borderId="1" pivotButton="0" quotePrefix="0" xfId="0"/>
    <xf numFmtId="166" fontId="3" fillId="5" borderId="1" pivotButton="0" quotePrefix="0" xfId="0"/>
    <xf numFmtId="0" fontId="7" fillId="0" borderId="1" pivotButton="0" quotePrefix="0" xfId="0"/>
    <xf numFmtId="166" fontId="0" fillId="6" borderId="1" pivotButton="0" quotePrefix="0" xfId="0"/>
    <xf numFmtId="10" fontId="0" fillId="6" borderId="1" pivotButton="0" quotePrefix="0" xfId="0"/>
    <xf numFmtId="3" fontId="0" fillId="7" borderId="1" pivotButton="0" quotePrefix="0" xfId="0"/>
    <xf numFmtId="166" fontId="0" fillId="7" borderId="1" pivotButton="0" quotePrefix="0" xfId="0"/>
    <xf numFmtId="10" fontId="3" fillId="4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66909340.21999986</v>
      </c>
      <c r="C9" s="17" t="n">
        <v>114620580.3400004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71817045.76999547</v>
      </c>
      <c r="C10" s="17" t="n">
        <v>122534175.6099948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20434775.08000033</v>
      </c>
      <c r="N4" s="17" t="n">
        <v>40377406.52999959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28347121.58999967</v>
      </c>
      <c r="N5" s="17" t="n">
        <v>44784483.14999995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18127443.54999987</v>
      </c>
      <c r="N6" s="17" t="n">
        <v>29458690.66000083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18.50432497000117</v>
      </c>
      <c r="G4" s="34" t="n">
        <v>32.38086690000175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0.3747245332279163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10.02370843999998</v>
      </c>
      <c r="G5" s="34" t="n">
        <v>15.50422908999997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0.5770282964720179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14.49106598999975</v>
      </c>
      <c r="G6" s="34" t="n">
        <v>23.14058788999987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0.4921459875658043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11.13631267999999</v>
      </c>
      <c r="G8" s="34" t="n">
        <v>16.74884972000005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0.6655996445022558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1.475290260000006</v>
      </c>
      <c r="G9" s="34" t="n">
        <v>2.616103030000003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1.258006023303444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11.64473918999999</v>
      </c>
      <c r="G10" s="34" t="n">
        <v>22.29073933999993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0.4631940216117609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0.6921173299999999</v>
      </c>
      <c r="G11" s="34" t="n">
        <v>1.187673780000001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0.4636366398909308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1.942142249999997</v>
      </c>
      <c r="G12" s="34" t="n">
        <v>6.643827519999999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1.76909345352259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0.2846255699999999</v>
      </c>
      <c r="G13" s="34" t="n">
        <v>0.4203621899999996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0.5224217348514271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0.9961937400000003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0.4008427609025713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0.2656298399999997</v>
      </c>
      <c r="G15" s="34" t="n">
        <v>0.3784858199999995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0.4999858989104855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33.37095816000493</v>
      </c>
      <c r="F4" s="34" t="n">
        <v>49.92745519999929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32.14602051000463</v>
      </c>
      <c r="F5" s="34" t="n">
        <v>55.81900908999923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61.26123197999352</v>
      </c>
      <c r="F6" s="34" t="n">
        <v>78.0862114399969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315972605.8803364</v>
      </c>
      <c r="F4" s="17" t="n">
        <v>489364071.8501844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136195263.7899999</v>
      </c>
      <c r="F5" s="17" t="n">
        <v>105644862.0400001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Kültür</t>
        </is>
      </c>
      <c r="B13" s="17" t="n">
        <v>22</v>
      </c>
      <c r="C13" s="17" t="n">
        <v>20</v>
      </c>
      <c r="D13" s="55" t="n">
        <v>2</v>
      </c>
      <c r="E13" s="17" t="inlineStr">
        <is>
          <t>—</t>
        </is>
      </c>
      <c r="F13" s="17" t="n">
        <v>2</v>
      </c>
    </row>
    <row r="14">
      <c r="A14" s="16" t="inlineStr">
        <is>
          <t>Mağaza</t>
        </is>
      </c>
      <c r="B14" s="17" t="n">
        <v>10</v>
      </c>
      <c r="C14" s="17" t="n">
        <v>8</v>
      </c>
      <c r="D14" s="55" t="n">
        <v>2</v>
      </c>
      <c r="E14" s="17" t="inlineStr">
        <is>
          <t>—</t>
        </is>
      </c>
      <c r="F14" s="17" t="n">
        <v>0</v>
      </c>
    </row>
    <row r="15">
      <c r="A15" s="16" t="inlineStr">
        <is>
          <t>İdari̇ İşler</t>
        </is>
      </c>
      <c r="B15" s="17" t="n">
        <v>8</v>
      </c>
      <c r="C15" s="17" t="n">
        <v>6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Akademi̇</t>
        </is>
      </c>
      <c r="B16" s="17" t="n">
        <v>10</v>
      </c>
      <c r="C16" s="17" t="n">
        <v>9</v>
      </c>
      <c r="D16" s="55" t="n">
        <v>1</v>
      </c>
      <c r="E16" s="17" t="inlineStr">
        <is>
          <t>—</t>
        </is>
      </c>
      <c r="F16" s="17" t="n">
        <v>0</v>
      </c>
    </row>
    <row r="17">
      <c r="A17" s="16" t="inlineStr">
        <is>
          <t>Kasa</t>
        </is>
      </c>
      <c r="B17" s="17" t="n">
        <v>16</v>
      </c>
      <c r="C17" s="17" t="n">
        <v>15</v>
      </c>
      <c r="D17" s="55" t="n">
        <v>1</v>
      </c>
      <c r="E17" s="17" t="inlineStr">
        <is>
          <t>—</t>
        </is>
      </c>
      <c r="F17" s="17" t="n">
        <v>9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Etki̇nli̇k</t>
        </is>
      </c>
      <c r="B20" s="17" t="n">
        <v>0</v>
      </c>
      <c r="C20" s="17" t="n">
        <v>3</v>
      </c>
      <c r="D20" s="17" t="inlineStr">
        <is>
          <t>—</t>
        </is>
      </c>
      <c r="E20" s="17" t="n">
        <v>3</v>
      </c>
      <c r="F20" s="17" t="n">
        <v>0</v>
      </c>
    </row>
    <row r="21">
      <c r="A21" s="16" t="inlineStr">
        <is>
          <t>Kirtasi̇ye</t>
        </is>
      </c>
      <c r="B21" s="17" t="n">
        <v>24</v>
      </c>
      <c r="C21" s="17" t="n">
        <v>23</v>
      </c>
      <c r="D21" s="55" t="n">
        <v>1</v>
      </c>
      <c r="E21" s="17" t="inlineStr">
        <is>
          <t>—</t>
        </is>
      </c>
      <c r="F21" s="17" t="n">
        <v>22</v>
      </c>
    </row>
    <row r="22">
      <c r="A22" s="16" t="inlineStr">
        <is>
          <t>Kiyafet</t>
        </is>
      </c>
      <c r="B22" s="17" t="n">
        <v>0</v>
      </c>
      <c r="C22" s="17" t="n">
        <v>0</v>
      </c>
      <c r="D22" s="17" t="inlineStr">
        <is>
          <t>—</t>
        </is>
      </c>
      <c r="E22" s="17" t="inlineStr">
        <is>
          <t>—</t>
        </is>
      </c>
      <c r="F22" s="17" t="n">
        <v>4</v>
      </c>
    </row>
    <row r="23">
      <c r="A23" s="16" t="inlineStr">
        <is>
          <t>Mal Kabul</t>
        </is>
      </c>
      <c r="B23" s="17" t="n">
        <v>6</v>
      </c>
      <c r="C23" s="17" t="n">
        <v>5</v>
      </c>
      <c r="D23" s="55" t="n">
        <v>1</v>
      </c>
      <c r="E23" s="17" t="inlineStr">
        <is>
          <t>—</t>
        </is>
      </c>
      <c r="F23" s="17" t="n">
        <v>1</v>
      </c>
    </row>
    <row r="24">
      <c r="A24" s="16" t="inlineStr">
        <is>
          <t>Oyuncak</t>
        </is>
      </c>
      <c r="B24" s="17" t="n">
        <v>10</v>
      </c>
      <c r="C24" s="17" t="n">
        <v>10</v>
      </c>
      <c r="D24" s="17" t="inlineStr">
        <is>
          <t>—</t>
        </is>
      </c>
      <c r="E24" s="17" t="inlineStr">
        <is>
          <t>—</t>
        </is>
      </c>
      <c r="F24" s="17" t="n">
        <v>0</v>
      </c>
    </row>
    <row r="25">
      <c r="A25" s="16" t="inlineStr">
        <is>
          <t>Yardimci Ki̇tap</t>
        </is>
      </c>
      <c r="B25" s="17" t="n">
        <v>18</v>
      </c>
      <c r="C25" s="17" t="n">
        <v>21</v>
      </c>
      <c r="D25" s="17" t="inlineStr">
        <is>
          <t>—</t>
        </is>
      </c>
      <c r="E25" s="17" t="n">
        <v>3</v>
      </c>
      <c r="F25" s="17" t="n">
        <v>15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1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SEZON Tem–Eki (kiyas: Tem) · yil geneli: 01-07 ay (Oca–Tem), her iki yıl · uc POS magazasi (İst. Yolu · Özlüce · Fsm)</t>
        </is>
      </c>
    </row>
    <row r="2">
      <c r="A2" s="59" t="inlineStr">
        <is>
          <t>⚠ 2026 SEZONU HENÜZ TAMAMLANMADI. Sezon = Tem–Eki ayları; Ağu, Eyl, Eki ayı/ayları için bordro henüz işlenmedi (Ağustos bordrosu koşmadı, Eylül–Ekim daha gelmedi). Karşılaştırma tamamlanan ortak ay(lar) ile sınırlıdır: Tem. Geçen yılın TAM sezonu ayrıca referans olarak verilmiştir.</t>
        </is>
      </c>
    </row>
    <row r="3" ht="30" customHeight="1">
      <c r="A3" s="13" t="inlineStr">
        <is>
          <t>Olcu</t>
        </is>
      </c>
      <c r="B3" s="13" t="inlineStr">
        <is>
          <t>SEZON 2025</t>
        </is>
      </c>
      <c r="C3" s="13" t="inlineStr">
        <is>
          <t>SEZON 2026</t>
        </is>
      </c>
      <c r="D3" s="13" t="inlineStr">
        <is>
          <t>SEZON Δ</t>
        </is>
      </c>
      <c r="E3" s="13" t="inlineStr">
        <is>
          <t>KUM. 2025</t>
        </is>
      </c>
      <c r="F3" s="13" t="inlineStr">
        <is>
          <t>KUM. 2026</t>
        </is>
      </c>
      <c r="G3" s="13" t="inlineStr">
        <is>
          <t>KUM. Δ</t>
        </is>
      </c>
    </row>
    <row r="4">
      <c r="A4" s="20" t="inlineStr">
        <is>
          <t>FTE — tam zaman esdeger (prim gunu/30)</t>
        </is>
      </c>
      <c r="B4" s="60" t="n">
        <v>97.13333333333333</v>
      </c>
      <c r="C4" s="60" t="n">
        <v>112.4333333333333</v>
      </c>
      <c r="D4" s="61">
        <f>C4/B4-1</f>
        <v/>
      </c>
      <c r="E4" s="60" t="n">
        <v>697.0666666666666</v>
      </c>
      <c r="F4" s="60" t="n">
        <v>776.1666666666666</v>
      </c>
      <c r="G4" s="61">
        <f>F4/E4-1</f>
        <v/>
      </c>
    </row>
    <row r="5">
      <c r="A5" s="16" t="inlineStr">
        <is>
          <t>Kayit sayisi (bordro satiri, bilgi)</t>
        </is>
      </c>
      <c r="B5" s="17" t="n">
        <v>110</v>
      </c>
      <c r="C5" s="17" t="n">
        <v>127</v>
      </c>
      <c r="D5" s="44">
        <f>C5/B5-1</f>
        <v/>
      </c>
      <c r="E5" s="17" t="n">
        <v>781</v>
      </c>
      <c r="F5" s="17" t="n">
        <v>856</v>
      </c>
      <c r="G5" s="44">
        <f>F5/E5-1</f>
        <v/>
      </c>
    </row>
    <row r="6">
      <c r="A6" s="16" t="inlineStr">
        <is>
          <t>Ortalama prim gunu (kayit basina)</t>
        </is>
      </c>
      <c r="B6" s="34" t="n">
        <v>26.49090909090909</v>
      </c>
      <c r="C6" s="34" t="n">
        <v>26.55905511811024</v>
      </c>
      <c r="D6" s="44">
        <f>C6/B6-1</f>
        <v/>
      </c>
      <c r="E6" s="34" t="n">
        <v>26.77592829705506</v>
      </c>
      <c r="F6" s="34" t="n">
        <v>27.20210280373832</v>
      </c>
      <c r="G6" s="44">
        <f>F6/E6-1</f>
        <v/>
      </c>
    </row>
    <row r="7">
      <c r="A7" s="16" t="inlineStr">
        <is>
          <t>Brut ucret toplami</t>
        </is>
      </c>
      <c r="B7" s="17" t="n">
        <v>3567235.3875</v>
      </c>
      <c r="C7" s="17" t="n">
        <v>5475635.379999999</v>
      </c>
      <c r="D7" s="44">
        <f>C7/B7-1</f>
        <v/>
      </c>
      <c r="E7" s="17" t="n">
        <v>25335535.94970002</v>
      </c>
      <c r="F7" s="17" t="n">
        <v>38122041.40320002</v>
      </c>
      <c r="G7" s="44">
        <f>F7/E7-1</f>
        <v/>
      </c>
    </row>
    <row r="8">
      <c r="A8" s="16" t="inlineStr">
        <is>
          <t>Isveren SGK hissesi</t>
        </is>
      </c>
      <c r="B8" s="17" t="n">
        <v>755175.4300000001</v>
      </c>
      <c r="C8" s="17" t="n">
        <v>1209763.05</v>
      </c>
      <c r="D8" s="44">
        <f>C8/B8-1</f>
        <v/>
      </c>
      <c r="E8" s="17" t="n">
        <v>5363453.390000004</v>
      </c>
      <c r="F8" s="17" t="n">
        <v>8415547.840000011</v>
      </c>
      <c r="G8" s="44">
        <f>F8/E8-1</f>
        <v/>
      </c>
    </row>
    <row r="9">
      <c r="A9" s="16" t="inlineStr">
        <is>
          <t>Isveren issizlik payi</t>
        </is>
      </c>
      <c r="B9" s="17" t="n">
        <v>63857.65000000001</v>
      </c>
      <c r="C9" s="17" t="n">
        <v>96971.03</v>
      </c>
      <c r="D9" s="44">
        <f>C9/B9-1</f>
        <v/>
      </c>
      <c r="E9" s="17" t="n">
        <v>457439.0400000003</v>
      </c>
      <c r="F9" s="17" t="n">
        <v>679771.7700000003</v>
      </c>
      <c r="G9" s="44">
        <f>F9/E9-1</f>
        <v/>
      </c>
    </row>
    <row r="10">
      <c r="A10" s="20" t="inlineStr">
        <is>
          <t>PERSONEL MALIYETI (brut isveren)</t>
        </is>
      </c>
      <c r="B10" s="52" t="n">
        <v>4386268.467500001</v>
      </c>
      <c r="C10" s="52" t="n">
        <v>6782369.460000002</v>
      </c>
      <c r="D10" s="61">
        <f>C10/B10-1</f>
        <v/>
      </c>
      <c r="E10" s="52" t="n">
        <v>31156428.37970001</v>
      </c>
      <c r="F10" s="52" t="n">
        <v>47217361.01320001</v>
      </c>
      <c r="G10" s="61">
        <f>F10/E10-1</f>
        <v/>
      </c>
    </row>
    <row r="11">
      <c r="A11" s="16" t="inlineStr">
        <is>
          <t>Net odenen (bilgi)</t>
        </is>
      </c>
      <c r="B11" s="17" t="n">
        <v>2240039.8225</v>
      </c>
      <c r="C11" s="17" t="n">
        <v>3360516.027499999</v>
      </c>
      <c r="D11" s="44">
        <f>C11/B11-1</f>
        <v/>
      </c>
      <c r="E11" s="17" t="n">
        <v>16640194.22</v>
      </c>
      <c r="F11" s="17" t="n">
        <v>25058013.1425</v>
      </c>
      <c r="G11" s="44">
        <f>F11/E11-1</f>
        <v/>
      </c>
    </row>
    <row r="12">
      <c r="A12" s="16" t="inlineStr">
        <is>
          <t>Ciro (KDV haric, Sinav dahil)</t>
        </is>
      </c>
      <c r="B12" s="17" t="n">
        <v>30679569.85999918</v>
      </c>
      <c r="C12" s="17" t="n">
        <v>53355722.42000187</v>
      </c>
      <c r="D12" s="44">
        <f>C12/B12-1</f>
        <v/>
      </c>
      <c r="E12" s="17" t="n">
        <v>242487002.9099963</v>
      </c>
      <c r="F12" s="17" t="n">
        <v>388687036.5200129</v>
      </c>
      <c r="G12" s="44">
        <f>F12/E12-1</f>
        <v/>
      </c>
    </row>
    <row r="13">
      <c r="A13" s="16" t="inlineStr">
        <is>
          <t>FTE basina maliyet</t>
        </is>
      </c>
      <c r="B13" s="17" t="n">
        <v>45157.19081159919</v>
      </c>
      <c r="C13" s="17" t="n">
        <v>60323.47577823897</v>
      </c>
      <c r="D13" s="44">
        <f>C13/B13-1</f>
        <v/>
      </c>
      <c r="E13" s="17" t="n">
        <v>44696.48294715954</v>
      </c>
      <c r="F13" s="17" t="n">
        <v>60834.04897556368</v>
      </c>
      <c r="G13" s="44">
        <f>F13/E13-1</f>
        <v/>
      </c>
    </row>
    <row r="14">
      <c r="A14" s="16" t="inlineStr">
        <is>
          <t>FTE basina ciro</t>
        </is>
      </c>
      <c r="B14" s="17" t="n">
        <v>315850.0671928537</v>
      </c>
      <c r="C14" s="17" t="n">
        <v>474554.3055440427</v>
      </c>
      <c r="D14" s="44">
        <f>C14/B14-1</f>
        <v/>
      </c>
      <c r="E14" s="17" t="n">
        <v>347867.7356206909</v>
      </c>
      <c r="F14" s="17" t="n">
        <v>500777.8009705985</v>
      </c>
      <c r="G14" s="44">
        <f>F14/E14-1</f>
        <v/>
      </c>
    </row>
    <row r="15">
      <c r="A15" s="16" t="inlineStr">
        <is>
          <t>Fazla mesai (saat)</t>
        </is>
      </c>
      <c r="B15" s="34" t="n">
        <v>643</v>
      </c>
      <c r="C15" s="34" t="n">
        <v>783</v>
      </c>
      <c r="D15" s="44">
        <f>C15/B15-1</f>
        <v/>
      </c>
      <c r="E15" s="34" t="n">
        <v>6328.5</v>
      </c>
      <c r="F15" s="34" t="n">
        <v>7628.51</v>
      </c>
      <c r="G15" s="44">
        <f>F15/E15-1</f>
        <v/>
      </c>
    </row>
    <row r="16">
      <c r="A16" s="20" t="inlineStr">
        <is>
          <t>MALIYET / CIRO ORANI</t>
        </is>
      </c>
      <c r="B16" s="62" t="n">
        <v>0.14297033783446</v>
      </c>
      <c r="C16" s="62" t="n">
        <v>0.1271160646389719</v>
      </c>
      <c r="D16" s="63">
        <f>C16-B16</f>
        <v/>
      </c>
      <c r="E16" s="62" t="n">
        <v>0.1284870034509203</v>
      </c>
      <c r="F16" s="62" t="n">
        <v>0.121479124788791</v>
      </c>
      <c r="G16" s="63">
        <f>F16-E16</f>
        <v/>
      </c>
    </row>
    <row r="17">
      <c r="A17" s="64" t="inlineStr">
        <is>
          <t>Δ satirlari yuzde PUAN farkidir (eksi = ciro icindeki personel yuku azaldi). SEZON = Tem (esas) · KUM. = 01-07 ay (Oca–Tem), her iki yıl (yil geneli referansi).</t>
        </is>
      </c>
    </row>
    <row r="19">
      <c r="A19" s="47" t="inlineStr">
        <is>
          <t>GECEN YILIN TAM SEZONU (2025, Tem–Eki) — 2026 sezonu tamamlaninca ayni pencerede kiyas</t>
        </is>
      </c>
    </row>
    <row r="20">
      <c r="A20" s="16" t="inlineStr">
        <is>
          <t>FTE (tam zaman esdeger)</t>
        </is>
      </c>
      <c r="B20" s="34" t="n">
        <v>458.7333333333333</v>
      </c>
    </row>
    <row r="21">
      <c r="A21" s="16" t="inlineStr">
        <is>
          <t xml:space="preserve">  — kadrolu FTE</t>
        </is>
      </c>
      <c r="B21" s="34" t="n">
        <v>382.0666666666667</v>
      </c>
    </row>
    <row r="22">
      <c r="A22" s="16" t="inlineStr">
        <is>
          <t xml:space="preserve">  — sezonluk FTE</t>
        </is>
      </c>
      <c r="B22" s="34" t="n">
        <v>76.66666666666667</v>
      </c>
    </row>
    <row r="23">
      <c r="A23" s="16" t="inlineStr">
        <is>
          <t>Personel maliyeti</t>
        </is>
      </c>
      <c r="B23" s="17" t="n">
        <v>21304639.3619</v>
      </c>
    </row>
    <row r="24">
      <c r="A24" s="16" t="inlineStr">
        <is>
          <t>Ciro (KDV haric)</t>
        </is>
      </c>
      <c r="B24" s="17" t="n">
        <v>602003224.0700126</v>
      </c>
    </row>
    <row r="25">
      <c r="A25" s="16" t="inlineStr">
        <is>
          <t>Maliyet / ciro orani</t>
        </is>
      </c>
      <c r="B25" s="65" t="n">
        <v>0.03538957684954572</v>
      </c>
    </row>
    <row r="26">
      <c r="A26" s="16" t="inlineStr">
        <is>
          <t>Fazla mesai (saat)</t>
        </is>
      </c>
      <c r="B26" s="34" t="n">
        <v>7393</v>
      </c>
    </row>
    <row r="27">
      <c r="A27" s="64" t="inlineStr">
        <is>
          <t>SEZONUN SEKLI: sezonda ciro birkac kat artarken kadro ayni oranda artmaz -&gt; maliyet/ciro orani sezon aylarinda sezon disina gore COK dusuktur. Bu yuzden sezon ile yil-geneli oranlari BIRBIRIYLE kiyaslanmaz.</t>
        </is>
      </c>
    </row>
    <row r="29">
      <c r="A29" s="47" t="inlineStr">
        <is>
          <t>KADROLU / SEZONLUK AYRIMI — uc POS magazasi</t>
        </is>
      </c>
    </row>
    <row r="30">
      <c r="A30" s="54" t="inlineStr">
        <is>
          <t>Segment</t>
        </is>
      </c>
      <c r="B30" s="54" t="inlineStr">
        <is>
          <t>SEZON FTE 2025</t>
        </is>
      </c>
      <c r="C30" s="54" t="inlineStr">
        <is>
          <t>SEZON FTE 2026</t>
        </is>
      </c>
      <c r="D30" s="54" t="inlineStr">
        <is>
          <t>SEZON maliyet 2025</t>
        </is>
      </c>
      <c r="E30" s="54" t="inlineStr">
        <is>
          <t>SEZON maliyet 2026</t>
        </is>
      </c>
      <c r="F30" s="54" t="inlineStr">
        <is>
          <t>FTE basi maliyet 2026</t>
        </is>
      </c>
      <c r="G30" s="54" t="inlineStr">
        <is>
          <t>KUM. FTE 2025</t>
        </is>
      </c>
      <c r="H30" s="54" t="inlineStr">
        <is>
          <t>KUM. FTE 2026</t>
        </is>
      </c>
      <c r="I30" s="54" t="inlineStr">
        <is>
          <t>KUM. maliyet 2026</t>
        </is>
      </c>
      <c r="J30" s="54" t="inlineStr">
        <is>
          <t>SEZON FM saat 2026</t>
        </is>
      </c>
    </row>
    <row r="31">
      <c r="A31" s="16" t="inlineStr">
        <is>
          <t>Kadrolu</t>
        </is>
      </c>
      <c r="B31" s="34" t="n">
        <v>93.76666666666667</v>
      </c>
      <c r="C31" s="34" t="n">
        <v>110.9</v>
      </c>
      <c r="D31" s="17" t="n">
        <v>4266773.578500001</v>
      </c>
      <c r="E31" s="17" t="n">
        <v>6711440.170000002</v>
      </c>
      <c r="F31" s="17" t="n">
        <v>60517.94562669072</v>
      </c>
      <c r="G31" s="34" t="n">
        <v>693.7</v>
      </c>
      <c r="H31" s="34" t="n">
        <v>755.5333333333333</v>
      </c>
      <c r="I31" s="17" t="n">
        <v>46178811.43319999</v>
      </c>
      <c r="J31" s="34" t="n">
        <v>775.5</v>
      </c>
    </row>
    <row r="32">
      <c r="A32" s="16" t="inlineStr">
        <is>
          <t>Sezonluk</t>
        </is>
      </c>
      <c r="B32" s="34" t="n">
        <v>3.366666666666667</v>
      </c>
      <c r="C32" s="34" t="n">
        <v>1.533333333333333</v>
      </c>
      <c r="D32" s="17" t="n">
        <v>119494.889</v>
      </c>
      <c r="E32" s="17" t="n">
        <v>70929.29000000001</v>
      </c>
      <c r="F32" s="17" t="n">
        <v>46258.23260869565</v>
      </c>
      <c r="G32" s="34" t="n">
        <v>3.366666666666667</v>
      </c>
      <c r="H32" s="34" t="n">
        <v>20.63333333333333</v>
      </c>
      <c r="I32" s="17" t="n">
        <v>1038549.58</v>
      </c>
      <c r="J32" s="34" t="n">
        <v>7.5</v>
      </c>
    </row>
    <row r="33">
      <c r="A33" s="36" t="inlineStr">
        <is>
          <t>TOPLAM</t>
        </is>
      </c>
      <c r="B33" s="38" t="n">
        <v>97.13333333333333</v>
      </c>
      <c r="C33" s="38" t="n">
        <v>112.4333333333333</v>
      </c>
      <c r="D33" s="21" t="n">
        <v>4386268.467500001</v>
      </c>
      <c r="E33" s="21" t="n">
        <v>6782369.460000002</v>
      </c>
      <c r="F33" s="21" t="n">
        <v>60323.47577823897</v>
      </c>
      <c r="G33" s="38" t="n">
        <v>697.0666666666666</v>
      </c>
      <c r="H33" s="38" t="n">
        <v>776.1666666666666</v>
      </c>
      <c r="I33" s="21" t="n">
        <v>47217361.01320001</v>
      </c>
      <c r="J33" s="38" t="n">
        <v>783</v>
      </c>
    </row>
    <row r="34">
      <c r="A34" s="64" t="inlineStr">
        <is>
          <t>⚠ Segment ayraci `vw_PersonelDepartman.Kadro` = BUGUNKU durum (tarihlenmiyor): gecmiste sezonluk calisip kadroya gecen kisi GECMIS ayda da KADROLU gorunur. Ayrica sezonluk alimin buyuk kismi AGUSTOS'ta; Agustos bordrosu islenince sezonluk agirligi gercek seviyesine cikar.</t>
        </is>
      </c>
    </row>
    <row r="36">
      <c r="A36" s="47" t="inlineStr">
        <is>
          <t>AYLIK KIRILIM — uc POS magazasi (* = sezon ayi Tem–Eki; 2026 icin bordrosu kosmamis aylar bos)</t>
        </is>
      </c>
    </row>
    <row r="37">
      <c r="A37" s="54" t="inlineStr">
        <is>
          <t>Ay</t>
        </is>
      </c>
      <c r="B37" s="54" t="inlineStr">
        <is>
          <t>FTE 2025</t>
        </is>
      </c>
      <c r="C37" s="54" t="inlineStr">
        <is>
          <t>FTE 2026</t>
        </is>
      </c>
      <c r="D37" s="54" t="inlineStr">
        <is>
          <t>FTE Δ</t>
        </is>
      </c>
      <c r="E37" s="54" t="inlineStr">
        <is>
          <t>Maliyet 2025</t>
        </is>
      </c>
      <c r="F37" s="54" t="inlineStr">
        <is>
          <t>Maliyet 2026</t>
        </is>
      </c>
      <c r="G37" s="54" t="inlineStr">
        <is>
          <t>Maliyet Δ</t>
        </is>
      </c>
      <c r="H37" s="54" t="inlineStr">
        <is>
          <t>FM saat 2025</t>
        </is>
      </c>
      <c r="I37" s="54" t="inlineStr">
        <is>
          <t>FM saat 2026</t>
        </is>
      </c>
      <c r="J37" s="54" t="inlineStr">
        <is>
          <t>Oran 2025</t>
        </is>
      </c>
      <c r="K37" s="54" t="inlineStr">
        <is>
          <t>Oran 2026</t>
        </is>
      </c>
      <c r="L37" s="54" t="inlineStr">
        <is>
          <t>Kayit 2025</t>
        </is>
      </c>
      <c r="M37" s="54" t="inlineStr">
        <is>
          <t>Kayit 2026</t>
        </is>
      </c>
      <c r="N37" s="54" t="inlineStr">
        <is>
          <t>Ort. prim gunu 2026</t>
        </is>
      </c>
      <c r="O37" s="54" t="inlineStr">
        <is>
          <t>Kadrolu FTE 2025</t>
        </is>
      </c>
      <c r="P37" s="54" t="inlineStr">
        <is>
          <t>Kadrolu FTE 2026</t>
        </is>
      </c>
      <c r="Q37" s="54" t="inlineStr">
        <is>
          <t>Sezonluk FTE 2025</t>
        </is>
      </c>
      <c r="R37" s="54" t="inlineStr">
        <is>
          <t>Sezonluk FTE 2026</t>
        </is>
      </c>
    </row>
    <row r="38">
      <c r="A38" s="16" t="inlineStr">
        <is>
          <t>Oca</t>
        </is>
      </c>
      <c r="B38" s="34" t="n">
        <v>107.4666666666667</v>
      </c>
      <c r="C38" s="34" t="n">
        <v>109.9333333333333</v>
      </c>
      <c r="D38" s="19">
        <f>C38/B38-1</f>
        <v/>
      </c>
      <c r="E38" s="17" t="n">
        <v>4474024.3825</v>
      </c>
      <c r="F38" s="17" t="n">
        <v>6217410.874999999</v>
      </c>
      <c r="G38" s="19">
        <f>F38/E38-1</f>
        <v/>
      </c>
      <c r="H38" s="34" t="n">
        <v>620</v>
      </c>
      <c r="I38" s="34" t="n">
        <v>727.5</v>
      </c>
      <c r="J38" s="42" t="n">
        <v>0.1064043589756548</v>
      </c>
      <c r="K38" s="42" t="n">
        <v>0.0934279729173756</v>
      </c>
      <c r="L38" s="17" t="n">
        <v>117</v>
      </c>
      <c r="M38" s="17" t="n">
        <v>121</v>
      </c>
      <c r="N38" s="34" t="n">
        <v>27.25619834710744</v>
      </c>
      <c r="O38" s="34" t="n">
        <v>107.4666666666667</v>
      </c>
      <c r="P38" s="34" t="n">
        <v>105.9666666666667</v>
      </c>
      <c r="Q38" s="34" t="n">
        <v>0</v>
      </c>
      <c r="R38" s="34" t="n">
        <v>3.966666666666667</v>
      </c>
    </row>
    <row r="39">
      <c r="A39" s="16" t="inlineStr">
        <is>
          <t>Şub</t>
        </is>
      </c>
      <c r="B39" s="34" t="n">
        <v>100.7</v>
      </c>
      <c r="C39" s="34" t="n">
        <v>110.9333333333333</v>
      </c>
      <c r="D39" s="19">
        <f>C39/B39-1</f>
        <v/>
      </c>
      <c r="E39" s="17" t="n">
        <v>4224075.9997</v>
      </c>
      <c r="F39" s="17" t="n">
        <v>6437880.404999999</v>
      </c>
      <c r="G39" s="19">
        <f>F39/E39-1</f>
        <v/>
      </c>
      <c r="H39" s="34" t="n">
        <v>46</v>
      </c>
      <c r="I39" s="34" t="n">
        <v>65</v>
      </c>
      <c r="J39" s="42" t="n">
        <v>0.1097139082641947</v>
      </c>
      <c r="K39" s="42" t="n">
        <v>0.1128809843841146</v>
      </c>
      <c r="L39" s="17" t="n">
        <v>116</v>
      </c>
      <c r="M39" s="17" t="n">
        <v>123</v>
      </c>
      <c r="N39" s="34" t="n">
        <v>27.05691056910569</v>
      </c>
      <c r="O39" s="34" t="n">
        <v>100.7</v>
      </c>
      <c r="P39" s="34" t="n">
        <v>107.0333333333333</v>
      </c>
      <c r="Q39" s="34" t="n">
        <v>0</v>
      </c>
      <c r="R39" s="34" t="n">
        <v>3.9</v>
      </c>
    </row>
    <row r="40">
      <c r="A40" s="16" t="inlineStr">
        <is>
          <t>Mar</t>
        </is>
      </c>
      <c r="B40" s="34" t="n">
        <v>102.8</v>
      </c>
      <c r="C40" s="34" t="n">
        <v>112.5666666666667</v>
      </c>
      <c r="D40" s="19">
        <f>C40/B40-1</f>
        <v/>
      </c>
      <c r="E40" s="17" t="n">
        <v>4600008.1925</v>
      </c>
      <c r="F40" s="17" t="n">
        <v>6842756.383199998</v>
      </c>
      <c r="G40" s="19">
        <f>F40/E40-1</f>
        <v/>
      </c>
      <c r="H40" s="34" t="n">
        <v>1361.5</v>
      </c>
      <c r="I40" s="34" t="n">
        <v>1681</v>
      </c>
      <c r="J40" s="42" t="n">
        <v>0.1388245899802121</v>
      </c>
      <c r="K40" s="42" t="n">
        <v>0.1170292741229818</v>
      </c>
      <c r="L40" s="17" t="n">
        <v>112</v>
      </c>
      <c r="M40" s="17" t="n">
        <v>119</v>
      </c>
      <c r="N40" s="34" t="n">
        <v>28.3781512605042</v>
      </c>
      <c r="O40" s="34" t="n">
        <v>102.8</v>
      </c>
      <c r="P40" s="34" t="n">
        <v>108.5666666666667</v>
      </c>
      <c r="Q40" s="34" t="n">
        <v>0</v>
      </c>
      <c r="R40" s="34" t="n">
        <v>4</v>
      </c>
    </row>
    <row r="41">
      <c r="A41" s="16" t="inlineStr">
        <is>
          <t>Nis</t>
        </is>
      </c>
      <c r="B41" s="34" t="n">
        <v>97.59999999999999</v>
      </c>
      <c r="C41" s="34" t="n">
        <v>110.0333333333333</v>
      </c>
      <c r="D41" s="19">
        <f>C41/B41-1</f>
        <v/>
      </c>
      <c r="E41" s="17" t="n">
        <v>4282833.829500001</v>
      </c>
      <c r="F41" s="17" t="n">
        <v>7013152.140000001</v>
      </c>
      <c r="G41" s="19">
        <f>F41/E41-1</f>
        <v/>
      </c>
      <c r="H41" s="34" t="n">
        <v>746</v>
      </c>
      <c r="I41" s="34" t="n">
        <v>786.5</v>
      </c>
      <c r="J41" s="42" t="n">
        <v>0.1150222758867227</v>
      </c>
      <c r="K41" s="42" t="n">
        <v>0.1323692598351018</v>
      </c>
      <c r="L41" s="17" t="n">
        <v>114</v>
      </c>
      <c r="M41" s="17" t="n">
        <v>124</v>
      </c>
      <c r="N41" s="34" t="n">
        <v>26.62096774193548</v>
      </c>
      <c r="O41" s="34" t="n">
        <v>97.59999999999999</v>
      </c>
      <c r="P41" s="34" t="n">
        <v>106.9</v>
      </c>
      <c r="Q41" s="34" t="n">
        <v>0</v>
      </c>
      <c r="R41" s="34" t="n">
        <v>3.133333333333333</v>
      </c>
    </row>
    <row r="42">
      <c r="A42" s="16" t="inlineStr">
        <is>
          <t>May</t>
        </is>
      </c>
      <c r="B42" s="34" t="n">
        <v>93.86666666666667</v>
      </c>
      <c r="C42" s="34" t="n">
        <v>112.0333333333333</v>
      </c>
      <c r="D42" s="19">
        <f>C42/B42-1</f>
        <v/>
      </c>
      <c r="E42" s="17" t="n">
        <v>4743646.205499999</v>
      </c>
      <c r="F42" s="17" t="n">
        <v>7453386.71</v>
      </c>
      <c r="G42" s="19">
        <f>F42/E42-1</f>
        <v/>
      </c>
      <c r="H42" s="34" t="n">
        <v>1144.5</v>
      </c>
      <c r="I42" s="34" t="n">
        <v>3553.01</v>
      </c>
      <c r="J42" s="42" t="n">
        <v>0.1596487262755285</v>
      </c>
      <c r="K42" s="42" t="n">
        <v>0.1384843301196848</v>
      </c>
      <c r="L42" s="17" t="n">
        <v>107</v>
      </c>
      <c r="M42" s="17" t="n">
        <v>124</v>
      </c>
      <c r="N42" s="34" t="n">
        <v>27.10483870967742</v>
      </c>
      <c r="O42" s="34" t="n">
        <v>93.86666666666667</v>
      </c>
      <c r="P42" s="34" t="n">
        <v>109.1666666666667</v>
      </c>
      <c r="Q42" s="34" t="n">
        <v>0</v>
      </c>
      <c r="R42" s="34" t="n">
        <v>2.866666666666667</v>
      </c>
    </row>
    <row r="43">
      <c r="A43" s="16" t="inlineStr">
        <is>
          <t>Haz</t>
        </is>
      </c>
      <c r="B43" s="34" t="n">
        <v>97.5</v>
      </c>
      <c r="C43" s="34" t="n">
        <v>108.2333333333333</v>
      </c>
      <c r="D43" s="19">
        <f>C43/B43-1</f>
        <v/>
      </c>
      <c r="E43" s="17" t="n">
        <v>4445571.3025</v>
      </c>
      <c r="F43" s="17" t="n">
        <v>6470405.039999998</v>
      </c>
      <c r="G43" s="19">
        <f>F43/E43-1</f>
        <v/>
      </c>
      <c r="H43" s="34" t="n">
        <v>1767.5</v>
      </c>
      <c r="I43" s="34" t="n">
        <v>32.5</v>
      </c>
      <c r="J43" s="42" t="n">
        <v>0.1425960097198744</v>
      </c>
      <c r="K43" s="42" t="n">
        <v>0.1392147694382914</v>
      </c>
      <c r="L43" s="17" t="n">
        <v>105</v>
      </c>
      <c r="M43" s="17" t="n">
        <v>118</v>
      </c>
      <c r="N43" s="34" t="n">
        <v>27.51694915254237</v>
      </c>
      <c r="O43" s="34" t="n">
        <v>97.5</v>
      </c>
      <c r="P43" s="34" t="n">
        <v>107</v>
      </c>
      <c r="Q43" s="34" t="n">
        <v>0</v>
      </c>
      <c r="R43" s="34" t="n">
        <v>1.233333333333333</v>
      </c>
    </row>
    <row r="44">
      <c r="A44" s="20" t="inlineStr">
        <is>
          <t>Tem*</t>
        </is>
      </c>
      <c r="B44" s="66" t="n">
        <v>97.13333333333333</v>
      </c>
      <c r="C44" s="66" t="n">
        <v>112.4333333333333</v>
      </c>
      <c r="D44" s="19">
        <f>C44/B44-1</f>
        <v/>
      </c>
      <c r="E44" s="67" t="n">
        <v>4386268.467500001</v>
      </c>
      <c r="F44" s="67" t="n">
        <v>6782369.460000002</v>
      </c>
      <c r="G44" s="19">
        <f>F44/E44-1</f>
        <v/>
      </c>
      <c r="H44" s="66" t="n">
        <v>643</v>
      </c>
      <c r="I44" s="66" t="n">
        <v>783</v>
      </c>
      <c r="J44" s="42" t="n">
        <v>0.14297033783446</v>
      </c>
      <c r="K44" s="42" t="n">
        <v>0.1271160646389719</v>
      </c>
      <c r="L44" s="67" t="n">
        <v>110</v>
      </c>
      <c r="M44" s="67" t="n">
        <v>127</v>
      </c>
      <c r="N44" s="66" t="n">
        <v>26.55905511811024</v>
      </c>
      <c r="O44" s="66" t="n">
        <v>93.76666666666667</v>
      </c>
      <c r="P44" s="66" t="n">
        <v>110.9</v>
      </c>
      <c r="Q44" s="66" t="n">
        <v>3.366666666666667</v>
      </c>
      <c r="R44" s="66" t="n">
        <v>1.533333333333333</v>
      </c>
    </row>
    <row r="45">
      <c r="A45" s="20" t="inlineStr">
        <is>
          <t>Ağu*</t>
        </is>
      </c>
      <c r="B45" s="66" t="n">
        <v>120.6333333333333</v>
      </c>
      <c r="C45" s="66" t="inlineStr">
        <is>
          <t>—</t>
        </is>
      </c>
      <c r="D45" s="19">
        <f>C45/B45-1</f>
        <v/>
      </c>
      <c r="E45" s="67" t="n">
        <v>5442547.3939</v>
      </c>
      <c r="F45" s="67" t="inlineStr">
        <is>
          <t>—</t>
        </is>
      </c>
      <c r="G45" s="19">
        <f>F45/E45-1</f>
        <v/>
      </c>
      <c r="H45" s="66" t="n">
        <v>2139.5</v>
      </c>
      <c r="I45" s="66" t="inlineStr">
        <is>
          <t>—</t>
        </is>
      </c>
      <c r="J45" s="42" t="n">
        <v>0.02912397700580454</v>
      </c>
      <c r="K45" s="42" t="inlineStr">
        <is>
          <t>—</t>
        </is>
      </c>
      <c r="L45" s="67" t="n">
        <v>152</v>
      </c>
      <c r="M45" s="67" t="inlineStr">
        <is>
          <t>—</t>
        </is>
      </c>
      <c r="N45" s="66" t="inlineStr">
        <is>
          <t>—</t>
        </is>
      </c>
      <c r="O45" s="66" t="n">
        <v>94.13333333333334</v>
      </c>
      <c r="P45" s="66" t="inlineStr">
        <is>
          <t>—</t>
        </is>
      </c>
      <c r="Q45" s="66" t="n">
        <v>26.5</v>
      </c>
      <c r="R45" s="66" t="inlineStr">
        <is>
          <t>—</t>
        </is>
      </c>
    </row>
    <row r="46">
      <c r="A46" s="20" t="inlineStr">
        <is>
          <t>Eyl*</t>
        </is>
      </c>
      <c r="B46" s="66" t="n">
        <v>132.8333333333333</v>
      </c>
      <c r="C46" s="66" t="inlineStr">
        <is>
          <t>—</t>
        </is>
      </c>
      <c r="D46" s="19">
        <f>C46/B46-1</f>
        <v/>
      </c>
      <c r="E46" s="67" t="n">
        <v>6568880.7995</v>
      </c>
      <c r="F46" s="67" t="inlineStr">
        <is>
          <t>—</t>
        </is>
      </c>
      <c r="G46" s="19">
        <f>F46/E46-1</f>
        <v/>
      </c>
      <c r="H46" s="66" t="n">
        <v>3495</v>
      </c>
      <c r="I46" s="66" t="inlineStr">
        <is>
          <t>—</t>
        </is>
      </c>
      <c r="J46" s="42" t="n">
        <v>0.02098348810480769</v>
      </c>
      <c r="K46" s="42" t="inlineStr">
        <is>
          <t>—</t>
        </is>
      </c>
      <c r="L46" s="67" t="n">
        <v>154</v>
      </c>
      <c r="M46" s="67" t="inlineStr">
        <is>
          <t>—</t>
        </is>
      </c>
      <c r="N46" s="66" t="inlineStr">
        <is>
          <t>—</t>
        </is>
      </c>
      <c r="O46" s="66" t="n">
        <v>95.76666666666667</v>
      </c>
      <c r="P46" s="66" t="inlineStr">
        <is>
          <t>—</t>
        </is>
      </c>
      <c r="Q46" s="66" t="n">
        <v>37.06666666666666</v>
      </c>
      <c r="R46" s="66" t="inlineStr">
        <is>
          <t>—</t>
        </is>
      </c>
    </row>
    <row r="47">
      <c r="A47" s="20" t="inlineStr">
        <is>
          <t>Eki*</t>
        </is>
      </c>
      <c r="B47" s="66" t="n">
        <v>108.1333333333333</v>
      </c>
      <c r="C47" s="66" t="inlineStr">
        <is>
          <t>—</t>
        </is>
      </c>
      <c r="D47" s="19">
        <f>C47/B47-1</f>
        <v/>
      </c>
      <c r="E47" s="67" t="n">
        <v>4906942.701</v>
      </c>
      <c r="F47" s="67" t="inlineStr">
        <is>
          <t>—</t>
        </is>
      </c>
      <c r="G47" s="19">
        <f>F47/E47-1</f>
        <v/>
      </c>
      <c r="H47" s="66" t="n">
        <v>1115.5</v>
      </c>
      <c r="I47" s="66" t="inlineStr">
        <is>
          <t>—</t>
        </is>
      </c>
      <c r="J47" s="42" t="n">
        <v>0.06872611463188823</v>
      </c>
      <c r="K47" s="42" t="inlineStr">
        <is>
          <t>—</t>
        </is>
      </c>
      <c r="L47" s="67" t="n">
        <v>122</v>
      </c>
      <c r="M47" s="67" t="inlineStr">
        <is>
          <t>—</t>
        </is>
      </c>
      <c r="N47" s="66" t="inlineStr">
        <is>
          <t>—</t>
        </is>
      </c>
      <c r="O47" s="66" t="n">
        <v>98.40000000000001</v>
      </c>
      <c r="P47" s="66" t="inlineStr">
        <is>
          <t>—</t>
        </is>
      </c>
      <c r="Q47" s="66" t="n">
        <v>9.733333333333333</v>
      </c>
      <c r="R47" s="66" t="inlineStr">
        <is>
          <t>—</t>
        </is>
      </c>
    </row>
    <row r="49">
      <c r="A49" s="47" t="inlineStr">
        <is>
          <t>SUBE BAZINDA MALIYET VE FAZLA MESAI (bes magaza)</t>
        </is>
      </c>
    </row>
    <row r="50">
      <c r="A50" s="54" t="inlineStr">
        <is>
          <t>Sube</t>
        </is>
      </c>
      <c r="B50" s="54" t="inlineStr">
        <is>
          <t>FTE 2025</t>
        </is>
      </c>
      <c r="C50" s="54" t="inlineStr">
        <is>
          <t>FTE 2026</t>
        </is>
      </c>
      <c r="D50" s="54" t="inlineStr">
        <is>
          <t>Maliyet 2025</t>
        </is>
      </c>
      <c r="E50" s="54" t="inlineStr">
        <is>
          <t>Maliyet 2026</t>
        </is>
      </c>
      <c r="F50" s="54" t="inlineStr">
        <is>
          <t>Maliyet Δ</t>
        </is>
      </c>
      <c r="G50" s="54" t="inlineStr">
        <is>
          <t>FM saat 2025</t>
        </is>
      </c>
      <c r="H50" s="54" t="inlineStr">
        <is>
          <t>FM saat 2026</t>
        </is>
      </c>
      <c r="I50" s="54" t="inlineStr">
        <is>
          <t>FM tutar 2026</t>
        </is>
      </c>
    </row>
    <row r="51">
      <c r="A51" s="16" t="inlineStr">
        <is>
          <t>Fsm</t>
        </is>
      </c>
      <c r="B51" s="34" t="n">
        <v>238.3333333333333</v>
      </c>
      <c r="C51" s="34" t="n">
        <v>247.8</v>
      </c>
      <c r="D51" s="17" t="n">
        <v>10505479.13700001</v>
      </c>
      <c r="E51" s="17" t="n">
        <v>15336984.19000001</v>
      </c>
      <c r="F51" s="19">
        <f>E51/D51-1</f>
        <v/>
      </c>
      <c r="G51" s="34" t="n">
        <v>2010</v>
      </c>
      <c r="H51" s="34" t="n">
        <v>2084</v>
      </c>
      <c r="I51" s="17" t="n">
        <v>323297.7100000001</v>
      </c>
    </row>
    <row r="52">
      <c r="A52" s="16" t="inlineStr">
        <is>
          <t>Heykel</t>
        </is>
      </c>
      <c r="B52" s="34" t="n">
        <v>198.8666666666667</v>
      </c>
      <c r="C52" s="34" t="n">
        <v>196.3</v>
      </c>
      <c r="D52" s="17" t="n">
        <v>8934645.077999998</v>
      </c>
      <c r="E52" s="17" t="n">
        <v>12368114.50640001</v>
      </c>
      <c r="F52" s="19">
        <f>E52/D52-1</f>
        <v/>
      </c>
      <c r="G52" s="34" t="n">
        <v>1608</v>
      </c>
      <c r="H52" s="34" t="n">
        <v>1606.5</v>
      </c>
      <c r="I52" s="17" t="n">
        <v>252249.6700000001</v>
      </c>
    </row>
    <row r="53">
      <c r="A53" s="16" t="inlineStr">
        <is>
          <t>Özlüce</t>
        </is>
      </c>
      <c r="B53" s="34" t="n">
        <v>264.6333333333333</v>
      </c>
      <c r="C53" s="34" t="n">
        <v>290.9</v>
      </c>
      <c r="D53" s="17" t="n">
        <v>12022817.438</v>
      </c>
      <c r="E53" s="17" t="n">
        <v>17601765.7182</v>
      </c>
      <c r="F53" s="19">
        <f>E53/D53-1</f>
        <v/>
      </c>
      <c r="G53" s="34" t="n">
        <v>2518</v>
      </c>
      <c r="H53" s="34" t="n">
        <v>3144</v>
      </c>
      <c r="I53" s="17" t="n">
        <v>499150.3099999993</v>
      </c>
    </row>
    <row r="54">
      <c r="A54" s="16" t="inlineStr">
        <is>
          <t>İst. Yolu</t>
        </is>
      </c>
      <c r="B54" s="34" t="n">
        <v>194.1</v>
      </c>
      <c r="C54" s="34" t="n">
        <v>237.4666666666667</v>
      </c>
      <c r="D54" s="17" t="n">
        <v>8628131.804699995</v>
      </c>
      <c r="E54" s="17" t="n">
        <v>14278611.10500001</v>
      </c>
      <c r="F54" s="19">
        <f>E54/D54-1</f>
        <v/>
      </c>
      <c r="G54" s="34" t="n">
        <v>1800.5</v>
      </c>
      <c r="H54" s="34" t="n">
        <v>2400.51</v>
      </c>
      <c r="I54" s="17" t="n">
        <v>361480.5099999998</v>
      </c>
    </row>
    <row r="55">
      <c r="A55" s="16" t="inlineStr">
        <is>
          <t>Şura</t>
        </is>
      </c>
      <c r="B55" s="34" t="n">
        <v>60.06666666666667</v>
      </c>
      <c r="C55" s="34" t="n">
        <v>76.86666666666666</v>
      </c>
      <c r="D55" s="17" t="n">
        <v>3016259.480500001</v>
      </c>
      <c r="E55" s="17" t="n">
        <v>5701231.434999999</v>
      </c>
      <c r="F55" s="19">
        <f>E55/D55-1</f>
        <v/>
      </c>
      <c r="G55" s="34" t="n">
        <v>277</v>
      </c>
      <c r="H55" s="34" t="n">
        <v>212.5</v>
      </c>
      <c r="I55" s="17" t="n">
        <v>37862.25999999999</v>
      </c>
    </row>
    <row r="57">
      <c r="A57" s="47" t="inlineStr">
        <is>
          <t>FAZLA MESAI VE YASAL SINIR (4857 s.K. m.41 — yillik 270 saat)</t>
        </is>
      </c>
    </row>
    <row r="58">
      <c r="A58" s="16" t="inlineStr">
        <is>
          <t>Fiili FM saat 2025 (uc POS)</t>
        </is>
      </c>
      <c r="B58" s="34" t="n">
        <v>643</v>
      </c>
    </row>
    <row r="59">
      <c r="A59" s="16" t="inlineStr">
        <is>
          <t>Fiili FM saat 2026 (uc POS)</t>
        </is>
      </c>
      <c r="B59" s="34" t="n">
        <v>783</v>
      </c>
    </row>
    <row r="60">
      <c r="A60" s="16" t="inlineStr">
        <is>
          <t>Kisi basi YILLIK FM 2025 (saat)</t>
        </is>
      </c>
      <c r="B60" s="34" t="n">
        <v>79.43719972546329</v>
      </c>
    </row>
    <row r="61">
      <c r="A61" s="16" t="inlineStr">
        <is>
          <t>Kisi basi YILLIK FM 2026 (saat)</t>
        </is>
      </c>
      <c r="B61" s="34" t="n">
        <v>83.56952268010673</v>
      </c>
    </row>
    <row r="62">
      <c r="A62" s="16" t="inlineStr">
        <is>
          <t>Yillik sinir hizinda kisi-ay 2025</t>
        </is>
      </c>
      <c r="B62" s="17" t="n">
        <v>1</v>
      </c>
    </row>
    <row r="63">
      <c r="A63" s="16" t="inlineStr">
        <is>
          <t>Yillik sinir hizinda kisi-ay 2026</t>
        </is>
      </c>
      <c r="B63" s="17" t="n">
        <v>2</v>
      </c>
    </row>
    <row r="64">
      <c r="A64" s="16" t="inlineStr">
        <is>
          <t>VARSAYIM: kadro 2025 seviyesinde kalsaydi eksik kisi-ay</t>
        </is>
      </c>
      <c r="B64" s="17" t="n">
        <v>17</v>
      </c>
    </row>
    <row r="65">
      <c r="A65" s="16" t="inlineStr">
        <is>
          <t>VARSAYIM: gereken EK fazla mesai (saat)</t>
        </is>
      </c>
      <c r="B65" s="34" t="n">
        <v>2983.500000000002</v>
      </c>
    </row>
    <row r="66">
      <c r="A66" s="20" t="inlineStr">
        <is>
          <t>VARSAYIM: kisi basi YILLIK FM (saat)</t>
        </is>
      </c>
      <c r="B66" s="68" t="n">
        <v>465.3191489361705</v>
      </c>
    </row>
    <row r="67">
      <c r="A67" s="20" t="inlineStr">
        <is>
          <t>YASAL UST SINIR (saat/yil/kisi)</t>
        </is>
      </c>
      <c r="B67" s="68" t="n">
        <v>270</v>
      </c>
    </row>
    <row r="69">
      <c r="A69" s="47" t="inlineStr">
        <is>
          <t>SEZONUN KALANI — TAHMIN (02.09.2026 sonrasi tahmindir)</t>
        </is>
      </c>
    </row>
    <row r="70">
      <c r="A70" s="54" t="inlineStr">
        <is>
          <t>Ay</t>
        </is>
      </c>
      <c r="B70" s="54" t="inlineStr">
        <is>
          <t>Ciro tipi</t>
        </is>
      </c>
      <c r="C70" s="54" t="inlineStr">
        <is>
          <t>Maliyet tipi</t>
        </is>
      </c>
      <c r="D70" s="54" t="inlineStr">
        <is>
          <t>Ciro 2025 (gercek)</t>
        </is>
      </c>
      <c r="E70" s="54" t="inlineStr">
        <is>
          <t>Ciro 2026</t>
        </is>
      </c>
      <c r="F70" s="54" t="inlineStr">
        <is>
          <t>Ciro Δ</t>
        </is>
      </c>
      <c r="G70" s="54" t="inlineStr">
        <is>
          <t xml:space="preserve">  gerceklesen</t>
        </is>
      </c>
      <c r="H70" s="54" t="inlineStr">
        <is>
          <t xml:space="preserve">  tahmin</t>
        </is>
      </c>
      <c r="I70" s="54" t="inlineStr">
        <is>
          <t>Tahmin gunu</t>
        </is>
      </c>
      <c r="J70" s="54" t="inlineStr">
        <is>
          <t>FTE 2025</t>
        </is>
      </c>
      <c r="K70" s="54" t="inlineStr">
        <is>
          <t>FTE 2026</t>
        </is>
      </c>
      <c r="L70" s="54" t="inlineStr">
        <is>
          <t>Maliyet 2026</t>
        </is>
      </c>
      <c r="M70" s="54" t="inlineStr">
        <is>
          <t>Maliyet/ciro 2026</t>
        </is>
      </c>
    </row>
    <row r="71">
      <c r="A71" s="16" t="inlineStr">
        <is>
          <t>Tem</t>
        </is>
      </c>
      <c r="B71" s="16" t="inlineStr">
        <is>
          <t>gercek</t>
        </is>
      </c>
      <c r="C71" s="16" t="inlineStr">
        <is>
          <t>gercek</t>
        </is>
      </c>
      <c r="D71" s="17" t="n">
        <v>30679569.85999918</v>
      </c>
      <c r="E71" s="17" t="n">
        <v>53355722.42000007</v>
      </c>
      <c r="F71" s="19">
        <f>E71/D71-1</f>
        <v/>
      </c>
      <c r="G71" s="17" t="n">
        <v>53355722.42000007</v>
      </c>
      <c r="H71" s="17" t="n">
        <v>0</v>
      </c>
      <c r="I71" s="17" t="n">
        <v>0</v>
      </c>
      <c r="J71" s="34" t="n">
        <v>97.13333333333333</v>
      </c>
      <c r="K71" s="34" t="n">
        <v>112.4333333333333</v>
      </c>
      <c r="L71" s="17" t="n">
        <v>6782369.460000002</v>
      </c>
      <c r="M71" s="65" t="n">
        <v>0.1271160646389762</v>
      </c>
    </row>
    <row r="72">
      <c r="A72" s="16" t="inlineStr">
        <is>
          <t>Ağu</t>
        </is>
      </c>
      <c r="B72" s="16" t="inlineStr">
        <is>
          <t>gercek</t>
        </is>
      </c>
      <c r="C72" s="69" t="inlineStr">
        <is>
          <t>TAHMIN</t>
        </is>
      </c>
      <c r="D72" s="56" t="n">
        <v>186875143.8999995</v>
      </c>
      <c r="E72" s="56" t="n">
        <v>172114527.48</v>
      </c>
      <c r="F72" s="19">
        <f>E72/D72-1</f>
        <v/>
      </c>
      <c r="G72" s="56" t="n">
        <v>172114527.48</v>
      </c>
      <c r="H72" s="56" t="n">
        <v>0</v>
      </c>
      <c r="I72" s="56" t="n">
        <v>0</v>
      </c>
      <c r="J72" s="70" t="n">
        <v>120.6333333333333</v>
      </c>
      <c r="K72" s="70" t="n">
        <v>139.6349462365592</v>
      </c>
      <c r="L72" s="56" t="n">
        <v>8423265.297096778</v>
      </c>
      <c r="M72" s="71" t="n">
        <v>0.04893988567046193</v>
      </c>
    </row>
    <row r="73">
      <c r="A73" s="16" t="inlineStr">
        <is>
          <t>Eyl</t>
        </is>
      </c>
      <c r="B73" s="69" t="inlineStr">
        <is>
          <t>KISMI</t>
        </is>
      </c>
      <c r="C73" s="69" t="inlineStr">
        <is>
          <t>TAHMIN</t>
        </is>
      </c>
      <c r="D73" s="56" t="n">
        <v>313049992.7700272</v>
      </c>
      <c r="E73" s="56" t="n">
        <v>631903908.94835</v>
      </c>
      <c r="F73" s="19">
        <f>E73/D73-1</f>
        <v/>
      </c>
      <c r="G73" s="56" t="n">
        <v>20742785.50000001</v>
      </c>
      <c r="H73" s="56" t="n">
        <v>611161123.44835</v>
      </c>
      <c r="I73" s="56" t="n">
        <v>28</v>
      </c>
      <c r="J73" s="70" t="n">
        <v>132.8333333333333</v>
      </c>
      <c r="K73" s="70" t="n">
        <v>153.7566346373827</v>
      </c>
      <c r="L73" s="56" t="n">
        <v>9275134.625291698</v>
      </c>
      <c r="M73" s="71" t="n">
        <v>0.01467807762216236</v>
      </c>
    </row>
    <row r="74">
      <c r="A74" s="16" t="inlineStr">
        <is>
          <t>Eki</t>
        </is>
      </c>
      <c r="B74" s="69" t="inlineStr">
        <is>
          <t>TAHMIN</t>
        </is>
      </c>
      <c r="C74" s="69" t="inlineStr">
        <is>
          <t>TAHMIN</t>
        </is>
      </c>
      <c r="D74" s="56" t="n">
        <v>71398517.53998658</v>
      </c>
      <c r="E74" s="56" t="n">
        <v>133016523.3379859</v>
      </c>
      <c r="F74" s="19">
        <f>E74/D74-1</f>
        <v/>
      </c>
      <c r="G74" s="56" t="n">
        <v>0</v>
      </c>
      <c r="H74" s="56" t="n">
        <v>133016523.3379859</v>
      </c>
      <c r="I74" s="56" t="n">
        <v>31</v>
      </c>
      <c r="J74" s="70" t="n">
        <v>108.1333333333333</v>
      </c>
      <c r="K74" s="70" t="n">
        <v>125.1660032029284</v>
      </c>
      <c r="L74" s="56" t="n">
        <v>7550448.362470834</v>
      </c>
      <c r="M74" s="71" t="n">
        <v>0.05676323642353558</v>
      </c>
    </row>
    <row r="75">
      <c r="A75" s="20" t="inlineStr">
        <is>
          <t>Agu+Eyl</t>
        </is>
      </c>
      <c r="B75" s="64" t="inlineStr">
        <is>
          <t>kayma notr</t>
        </is>
      </c>
      <c r="D75" s="72" t="n">
        <v>499925136.6700268</v>
      </c>
      <c r="E75" s="72" t="n">
        <v>804018436.42835</v>
      </c>
      <c r="F75" s="19">
        <f>E75/D75-1</f>
        <v/>
      </c>
      <c r="J75" s="73" t="n">
        <v>253.4666666666666</v>
      </c>
      <c r="K75" s="73" t="n">
        <v>293.3915808739419</v>
      </c>
      <c r="L75" s="72" t="n">
        <v>17698399.92238848</v>
      </c>
    </row>
    <row r="76">
      <c r="A76" s="36" t="inlineStr">
        <is>
          <t>SEZON TOPLAM</t>
        </is>
      </c>
      <c r="D76" s="21" t="n">
        <v>602003224.0700126</v>
      </c>
      <c r="E76" s="21" t="n">
        <v>990390682.1863359</v>
      </c>
      <c r="F76" s="37">
        <f>E76/D76-1</f>
        <v/>
      </c>
      <c r="J76" s="38" t="n">
        <v>458.7333333333333</v>
      </c>
      <c r="K76" s="38" t="n">
        <v>530.9909174102037</v>
      </c>
      <c r="L76" s="21" t="n">
        <v>32031217.74485931</v>
      </c>
      <c r="M76" s="74" t="n">
        <v>0.03234200232392012</v>
      </c>
    </row>
    <row r="78">
      <c r="A78" s="59" t="inlineStr">
        <is>
          <t>⚠ TAKVİM AYI KIYASI KAYMAYI YANSITIR: okul 08.09.2025'de değil 14.09.2026'te açıldı — 2025'te Ağustos sonunda gerçekleşen yoğunluk 2026'da Eylül başına düştü. Bu yüzden Ağustos -8%, Eylül +102% görünür; ay ay okumak yanıltır, SEZON TOPLAMI (veya Ağustos+Eylül birlikte) esas alınır.</t>
        </is>
      </c>
    </row>
    <row r="79">
      <c r="A79" s="64" t="inlineStr">
        <is>
          <t>YONTEM: okul-hizalı gün eşleme (ciro) + sezon şekli×seviye (FTE) + FTE başına maliyet</t>
        </is>
      </c>
    </row>
    <row r="80">
      <c r="A80" s="64" t="inlineStr">
        <is>
          <t>VARSAYIM: Sezon şekli yıl üzerinden aynı: 2025'in gün-bazlı satış dağılımı okul açılışına hizalanarak 2026 takvimine taşındı (açılış 08.09.2025 → 14.09.2026).</t>
        </is>
      </c>
    </row>
    <row r="81">
      <c r="A81" s="64" t="inlineStr">
        <is>
          <t>VARSAYIM: Seviye: hizalı pencerede ÖLÇÜLEN ciro büyümesi (%66.0) uygulandı — ayrı bir büyüme varsayımı yapılmadı.</t>
        </is>
      </c>
    </row>
    <row r="82">
      <c r="A82" s="64" t="inlineStr">
        <is>
          <t>VARSAYIM: FTE: sezon şekli 2025'ten, seviye 2026'nın Tem ayından (katsayı 1.158).</t>
        </is>
      </c>
    </row>
    <row r="83">
      <c r="A83" s="64" t="inlineStr">
        <is>
          <t>VARSAYIM: Maliyet: tahmini FTE × 2026 Tem ayının FTE başına maliyeti (60.323 ₺). Ücret seviyesi sabit varsayıldı → zam/asgari ücret artışı olursa maliyet tahmini ALT SINIRDIR.</t>
        </is>
      </c>
    </row>
    <row r="84">
      <c r="A84" s="64" t="inlineStr">
        <is>
          <t>VARSAYIM: Gerçekleşen günler tahminle değiştirilmedi: 02.09.2026 tarihine kadar gerçek veri, sonrası tahmindir.</t>
        </is>
      </c>
    </row>
    <row r="85">
      <c r="A85" s="64" t="inlineStr">
        <is>
          <t>VARSAYIM: Bayram/tatil kayması ve mağaza açılış-kapanışı modellenmedi.</t>
        </is>
      </c>
    </row>
    <row r="87">
      <c r="A87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88">
      <c r="A88" s="32" t="inlineStr">
        <is>
          <t>OLCU BIRIMI **FTE** (tam zaman esdeger) = SGK prim gunu / 30. Bordro SATIRI (kayit) yaniltir: ay icinde 1 gun calisan da 1 sayilir; sezonluk giris/cikis yogun oldugu icin sisme en cok sezon ayinda olur. Kayit sayisi ve ortalama prim gunu seffaflik icin ayri satirlarda/kolonlarda durur.</t>
        </is>
      </c>
    </row>
    <row r="89">
      <c r="A89" s="32" t="inlineStr">
        <is>
          <t>PENCERE: SEZON = Tem–Eki (Temmuz hazırlık; asıl hacim ve sezonluk kadro Ağustos–Ekim). 2026 sezonu henüz tamamlanmadığı için KIYAS tamamlanan ortak ay(lar) ile yapılır: Tem. KÜMÜLATİF pencere (01-07 ay (Oca–Tem), her iki yıl) yıl geneli referansıdır; aylık kırılım artışın hangi ayda oluştuğunu gösterir; geçen yılın tam sezonu ayrı blokta durur.</t>
        </is>
      </c>
    </row>
    <row r="90">
      <c r="A90" s="32" t="inlineStr">
        <is>
          <t>SEZON ESAS: kadro sezonda (01.07-31.08) artiyor -&gt; maliyet/FM kiyasi SEZON penceresinde yapilir. Kumulatif (yilbasindan itibaren) pencere sezonu sulandirir, referans olarak durur.</t>
        </is>
      </c>
    </row>
    <row r="91">
      <c r="A91" s="32" t="inlineStr">
        <is>
          <t>⚠ ⚠ 2026 SEZONU HENÜZ TAMAMLANMADI. Sezon = Tem–Eki ayları; Ağu, Eyl, Eki ayı/ayları için bordro henüz işlenmedi (Ağustos bordrosu koşmadı, Eylül–Ekim daha gelmedi). Karşılaştırma tamamlanan ortak ay(lar) ile sınırlıdır: Tem. Geçen yılın TAM sezonu ayrıca referans olarak verilmiştir.</t>
        </is>
      </c>
    </row>
    <row r="92">
      <c r="A92" s="32" t="inlineStr">
        <is>
          <t>ORAN: maliyet/ciro yuzde PUAN olarak kiyaslanir. Ciro KDV HARIC (maliyet de KDV'siz), Sinav DAHIL (o satisi da ayni magaza personeli yapiyor).</t>
        </is>
      </c>
    </row>
    <row r="93">
      <c r="A93" s="32" t="inlineStr">
        <is>
          <t>K-22 VARSAYIM: SEZON penceresinde (Tem) ölçülür; birim FTE (tam zaman eşdeğer = SGK prim günü ÷ 30) — bordro satırı sayılsaydı yarım ay çalışan tam sayılır ve kapasite farkı şişerdi. İşgücü ihtiyacı FTE ile doğru orantılı kabul edilir; 15.3 FTE'lik kapasite eksiği ancak fazla mesaiyle kapanırdı (FTE başına 195 saat normal çalışma). Yasal çerçeve: 4857 s.K. m.41 yıllık 270 saat üst sınır. Yıllıklandırma: sezon ayı başına düşen fazla mesai × 12 (sezon yoğunluğunun yıla yayılması hâlinde ulaşacağı seviye).</t>
        </is>
      </c>
    </row>
    <row r="94">
      <c r="A94" s="32" t="inlineStr">
        <is>
          <t>⚠ Sube dagilimi personelin BUGUNKU subesine gore yapilir (bordro ayindaki subesi degil) — toplamlar dogru, sube kirilimi yer degistirenlerde kayabilir.</t>
        </is>
      </c>
    </row>
    <row r="95">
      <c r="A95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75" t="inlineStr">
        <is>
          <t>Baslik</t>
        </is>
      </c>
      <c r="B3" s="76" t="inlineStr">
        <is>
          <t>Kişi başı iş hacmi — sezon 2026 vs 2025</t>
        </is>
      </c>
    </row>
    <row r="4" ht="30" customHeight="1">
      <c r="A4" s="75" t="inlineStr">
        <is>
          <t>Kesim tarihi</t>
        </is>
      </c>
      <c r="B4" s="76" t="inlineStr">
        <is>
          <t>otomatik (veri sonu, okul-hizalı pencerede)</t>
        </is>
      </c>
    </row>
    <row r="5" ht="30" customHeight="1">
      <c r="A5" s="75" t="inlineStr">
        <is>
          <t>Pencere</t>
        </is>
      </c>
      <c r="B5" s="76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75" t="inlineStr">
        <is>
          <t>Kadro kaynagi</t>
        </is>
      </c>
      <c r="B6" s="76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75" t="inlineStr">
        <is>
          <t>Is hacmi kaynagi</t>
        </is>
      </c>
      <c r="B7" s="76" t="inlineStr">
        <is>
          <t>DerinSIS irs/irsAyr eTip=100 (POS satışı), Sınav Okulları/Kıyafet hariç, iade netlenmiş</t>
        </is>
      </c>
    </row>
    <row r="8" ht="30" customHeight="1">
      <c r="A8" s="75" t="inlineStr">
        <is>
          <t>Cekirdek SQL</t>
        </is>
      </c>
      <c r="B8" s="76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77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77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77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77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77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77" t="inlineStr">
        <is>
          <t>• Fiş sayısı bu kaynakta yok: eTip 100 günlük özet belgedir (bir gün = bir belge).</t>
        </is>
      </c>
    </row>
    <row r="17" ht="28" customHeight="1">
      <c r="B17" s="77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2026-09-03T05:59:00Z</dcterms:created>
  <dcterms:modified xmlns:dcterms="http://purl.org/dc/terms/" xmlns:xsi="http://www.w3.org/2001/XMLSchema-instance" xsi:type="dcterms:W3CDTF">2026-09-03T05:59:00Z</dcterms:modified>
</cp:coreProperties>
</file>