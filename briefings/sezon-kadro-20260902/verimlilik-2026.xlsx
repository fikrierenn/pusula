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Aylik" sheetId="7" state="visible" r:id="rId7"/>
    <sheet xmlns:r="http://schemas.openxmlformats.org/officeDocument/2006/relationships" name="Yillar" sheetId="8" state="visible" r:id="rId8"/>
    <sheet xmlns:r="http://schemas.openxmlformats.org/officeDocument/2006/relationships" name="Oca-Agu" sheetId="9" state="visible" r:id="rId9"/>
    <sheet xmlns:r="http://schemas.openxmlformats.org/officeDocument/2006/relationships" name="Norm" sheetId="10" state="visible" r:id="rId10"/>
    <sheet xmlns:r="http://schemas.openxmlformats.org/officeDocument/2006/relationships" name="Maliyet" sheetId="11" state="visible" r:id="rId11"/>
    <sheet xmlns:r="http://schemas.openxmlformats.org/officeDocument/2006/relationships" name="Yontem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+0.00%;-0.00%"/>
    <numFmt numFmtId="171" formatCode="+0 kişi;-0 kişi"/>
    <numFmt numFmtId="172" formatCode="+0,0%"/>
    <numFmt numFmtId="173" formatCode="0,0&quot;x&quot;"/>
  </numFmts>
  <fonts count="17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b val="1"/>
      <color rgb="00A6001A"/>
    </font>
    <font>
      <i val="1"/>
      <sz val="10"/>
    </font>
    <font>
      <i val="1"/>
      <sz val="9"/>
    </font>
    <font>
      <sz val="9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7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  <fill>
      <patternFill patternType="solid">
        <fgColor rgb="00FFF6E6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0" fontId="12" fillId="3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171" fontId="14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top" wrapText="1"/>
    </xf>
    <xf numFmtId="172" fontId="14" fillId="0" borderId="0" applyAlignment="1" pivotButton="0" quotePrefix="0" xfId="0">
      <alignment horizontal="right" vertical="center"/>
    </xf>
    <xf numFmtId="173" fontId="14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6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0" fontId="6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5" borderId="1" pivotButton="0" quotePrefix="0" xfId="0"/>
    <xf numFmtId="0" fontId="7" fillId="5" borderId="1" pivotButton="0" quotePrefix="0" xfId="0"/>
    <xf numFmtId="3" fontId="3" fillId="0" borderId="1" pivotButton="0" quotePrefix="0" xfId="0"/>
    <xf numFmtId="168" fontId="3" fillId="0" borderId="1" pivotButton="0" quotePrefix="0" xfId="0"/>
    <xf numFmtId="0" fontId="2" fillId="2" borderId="1" applyAlignment="1" pivotButton="0" quotePrefix="0" xfId="0">
      <alignment horizontal="center"/>
    </xf>
    <xf numFmtId="3" fontId="7" fillId="5" borderId="1" pivotButton="0" quotePrefix="0" xfId="0"/>
    <xf numFmtId="3" fontId="0" fillId="6" borderId="1" pivotButton="0" quotePrefix="0" xfId="0"/>
    <xf numFmtId="0" fontId="8" fillId="6" borderId="1" pivotButton="0" quotePrefix="0" xfId="0"/>
    <xf numFmtId="0" fontId="8" fillId="0" borderId="1" pivotButton="0" quotePrefix="0" xfId="0"/>
    <xf numFmtId="165" fontId="3" fillId="5" borderId="1" pivotButton="0" quotePrefix="0" xfId="0"/>
    <xf numFmtId="10" fontId="3" fillId="0" borderId="1" pivotButton="0" quotePrefix="0" xfId="0"/>
    <xf numFmtId="170" fontId="3" fillId="5" borderId="1" pivotButton="0" quotePrefix="0" xfId="0"/>
    <xf numFmtId="0" fontId="9" fillId="0" borderId="0" pivotButton="0" quotePrefix="0" xfId="0"/>
    <xf numFmtId="166" fontId="3" fillId="5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arttı.</t>
        </is>
      </c>
      <c r="C11" s="7">
        <f>'Ozet'!E8</f>
        <v/>
      </c>
    </row>
    <row r="12" ht="26" customHeight="1">
      <c r="B12" s="6" t="inlineStr">
        <is>
          <t>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arttı.</t>
        </is>
      </c>
      <c r="C13" s="7">
        <f>'Ozet'!E9</f>
        <v/>
      </c>
    </row>
    <row r="14" ht="26" customHeight="1">
      <c r="B14" s="6" t="inlineStr">
        <is>
          <t>KDV dahil, iadeler düşülmüş.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adedi ve günlük adet birlikte yükseldi.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'Ozet'!B16</f>
        <v/>
      </c>
    </row>
    <row r="18" ht="26" customHeight="1">
      <c r="B18" s="6" t="inlineStr">
        <is>
          <t>Ürün adedi ÷ kadro büyümesi (ciro oranı değil).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· Mal Kabul · İdari İşler kadrosu değişmedi; artış satış ve kasa reyonlarında.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küçüldü; mağaza tarafı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574655.7</v>
      </c>
      <c r="C8" s="17" t="n">
        <v>775031.55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66909340.21999995</v>
      </c>
      <c r="C9" s="17" t="n">
        <v>114620580.34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71817045.7700001</v>
      </c>
      <c r="C10" s="17" t="n">
        <v>122534175.6100001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173336</v>
      </c>
      <c r="F4" s="17" t="n">
        <v>258008.5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20434775.07999999</v>
      </c>
      <c r="N4" s="17" t="n">
        <v>40377406.52999999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28347121.58999998</v>
      </c>
      <c r="N5" s="17" t="n">
        <v>44784483.15000004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18127443.54999999</v>
      </c>
      <c r="N6" s="17" t="n">
        <v>29458690.66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2" customWidth="1" min="3" max="3"/>
    <col width="12" customWidth="1" min="4" max="4"/>
    <col width="9" customWidth="1" min="5" max="5"/>
    <col width="13" customWidth="1" min="6" max="6"/>
    <col width="13" customWidth="1" min="7" max="7"/>
    <col width="9" customWidth="1" min="8" max="8"/>
    <col width="14" customWidth="1" min="9" max="9"/>
    <col width="14" customWidth="1" min="10" max="10"/>
    <col width="12" customWidth="1" min="11" max="11"/>
    <col width="12" customWidth="1" min="12" max="12"/>
    <col width="11" customWidth="1" min="13" max="13"/>
  </cols>
  <sheetData>
    <row r="1">
      <c r="A1" s="12" t="inlineStr">
        <is>
          <t>Kategori büyümesi (okul-hizalı pencere VE Ocak-Ağustos) +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Oca-Ağu adet 2025</t>
        </is>
      </c>
      <c r="J3" s="13" t="inlineStr">
        <is>
          <t>Oca-Ağu adet 2026</t>
        </is>
      </c>
      <c r="K3" s="13" t="inlineStr">
        <is>
          <t>Oca-Ağu adet Δ</t>
        </is>
      </c>
      <c r="L3" s="13" t="inlineStr">
        <is>
          <t>Oca-Ağu ciro Δ</t>
        </is>
      </c>
      <c r="M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18.50432496999895</v>
      </c>
      <c r="G4" s="34" t="n">
        <v>32.38086689999967</v>
      </c>
      <c r="H4" s="44">
        <f>G4/F4-1</f>
        <v/>
      </c>
      <c r="I4" s="17" t="n">
        <v>1069622.3</v>
      </c>
      <c r="J4" s="17" t="n">
        <v>1312972</v>
      </c>
      <c r="K4" s="19">
        <f>IF(OR(I4="—",J4="—"),"",J4/I4-1)</f>
        <v/>
      </c>
      <c r="L4" s="19" t="n">
        <v>0.3747245332273847</v>
      </c>
      <c r="M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10.02370843999997</v>
      </c>
      <c r="G5" s="34" t="n">
        <v>15.50422908999993</v>
      </c>
      <c r="H5" s="44">
        <f>G5/F5-1</f>
        <v/>
      </c>
      <c r="I5" s="17" t="n">
        <v>358316</v>
      </c>
      <c r="J5" s="17" t="n">
        <v>440372</v>
      </c>
      <c r="K5" s="19">
        <f>IF(OR(I5="—",J5="—"),"",J5/I5-1)</f>
        <v/>
      </c>
      <c r="L5" s="19" t="n">
        <v>0.5770282964720117</v>
      </c>
      <c r="M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14.49106599000013</v>
      </c>
      <c r="G6" s="34" t="n">
        <v>23.14058788999988</v>
      </c>
      <c r="H6" s="44">
        <f>G6/F6-1</f>
        <v/>
      </c>
      <c r="I6" s="17" t="n">
        <v>298822</v>
      </c>
      <c r="J6" s="17" t="n">
        <v>348758</v>
      </c>
      <c r="K6" s="19">
        <f>IF(OR(I6="—",J6="—"),"",J6/I6-1)</f>
        <v/>
      </c>
      <c r="L6" s="19" t="n">
        <v>0.4921459875659895</v>
      </c>
      <c r="M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17" t="n">
        <v>239529.74</v>
      </c>
      <c r="J7" s="17" t="n">
        <v>320282.91</v>
      </c>
      <c r="K7" s="19">
        <f>IF(OR(I7="—",J7="—"),"",J7/I7-1)</f>
        <v/>
      </c>
      <c r="L7" s="19" t="n">
        <v>1.797673394233621</v>
      </c>
      <c r="M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11.13631268</v>
      </c>
      <c r="G8" s="34" t="n">
        <v>16.74884971999999</v>
      </c>
      <c r="H8" s="44">
        <f>G8/F8-1</f>
        <v/>
      </c>
      <c r="I8" s="17" t="n">
        <v>208095</v>
      </c>
      <c r="J8" s="17" t="n">
        <v>302422</v>
      </c>
      <c r="K8" s="19">
        <f>IF(OR(I8="—",J8="—"),"",J8/I8-1)</f>
        <v/>
      </c>
      <c r="L8" s="19" t="n">
        <v>0.6655996445022578</v>
      </c>
      <c r="M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</v>
      </c>
      <c r="G9" s="34" t="n">
        <v>2.616103029999999</v>
      </c>
      <c r="H9" s="44">
        <f>G9/F9-1</f>
        <v/>
      </c>
      <c r="I9" s="17" t="n">
        <v>147554</v>
      </c>
      <c r="J9" s="17" t="n">
        <v>295058</v>
      </c>
      <c r="K9" s="19">
        <f>IF(OR(I9="—",J9="—"),"",J9/I9-1)</f>
        <v/>
      </c>
      <c r="L9" s="19" t="n">
        <v>1.258006023303306</v>
      </c>
      <c r="M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38785</v>
      </c>
      <c r="D10" s="17" t="n">
        <v>53872</v>
      </c>
      <c r="E10" s="44">
        <f>D10/C10-1</f>
        <v/>
      </c>
      <c r="F10" s="34" t="n">
        <v>11.64473919000002</v>
      </c>
      <c r="G10" s="34" t="n">
        <v>22.29073933999999</v>
      </c>
      <c r="H10" s="44">
        <f>G10/F10-1</f>
        <v/>
      </c>
      <c r="I10" s="17" t="n">
        <v>218692</v>
      </c>
      <c r="J10" s="17" t="n">
        <v>266398</v>
      </c>
      <c r="K10" s="19">
        <f>IF(OR(I10="—",J10="—"),"",J10/I10-1)</f>
        <v/>
      </c>
      <c r="L10" s="19" t="n">
        <v>0.4631940216117378</v>
      </c>
      <c r="M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1.187673779999999</v>
      </c>
      <c r="H11" s="44">
        <f>G11/F11-1</f>
        <v/>
      </c>
      <c r="I11" s="17" t="n">
        <v>115494</v>
      </c>
      <c r="J11" s="17" t="n">
        <v>138337</v>
      </c>
      <c r="K11" s="19">
        <f>IF(OR(I11="—",J11="—"),"",J11/I11-1)</f>
        <v/>
      </c>
      <c r="L11" s="19" t="n">
        <v>0.4636366398909313</v>
      </c>
      <c r="M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1.942142250000001</v>
      </c>
      <c r="G12" s="34" t="n">
        <v>6.643827520000003</v>
      </c>
      <c r="H12" s="44">
        <f>G12/F12-1</f>
        <v/>
      </c>
      <c r="I12" s="17" t="n">
        <v>31118</v>
      </c>
      <c r="J12" s="17" t="n">
        <v>78701</v>
      </c>
      <c r="K12" s="19">
        <f>IF(OR(I12="—",J12="—"),"",J12/I12-1)</f>
        <v/>
      </c>
      <c r="L12" s="19" t="n">
        <v>1.769093453522601</v>
      </c>
      <c r="M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0.2846255699999998</v>
      </c>
      <c r="G13" s="34" t="n">
        <v>0.4203621900000002</v>
      </c>
      <c r="H13" s="44">
        <f>G13/F13-1</f>
        <v/>
      </c>
      <c r="I13" s="17" t="n">
        <v>19711</v>
      </c>
      <c r="J13" s="17" t="n">
        <v>46133</v>
      </c>
      <c r="K13" s="19">
        <f>IF(OR(I13="—",J13="—"),"",J13/I13-1)</f>
        <v/>
      </c>
      <c r="L13" s="19" t="n">
        <v>0.5224217348514242</v>
      </c>
      <c r="M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</v>
      </c>
      <c r="G14" s="34" t="n">
        <v>0.9961937399999999</v>
      </c>
      <c r="H14" s="44">
        <f>G14/F14-1</f>
        <v/>
      </c>
      <c r="I14" s="17" t="n">
        <v>21609</v>
      </c>
      <c r="J14" s="17" t="n">
        <v>24495</v>
      </c>
      <c r="K14" s="19">
        <f>IF(OR(I14="—",J14="—"),"",J14/I14-1)</f>
        <v/>
      </c>
      <c r="L14" s="19" t="n">
        <v>0.4008427609025691</v>
      </c>
      <c r="M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0.2656298400000003</v>
      </c>
      <c r="G15" s="34" t="n">
        <v>0.37848582</v>
      </c>
      <c r="H15" s="44">
        <f>G15/F15-1</f>
        <v/>
      </c>
      <c r="I15" s="17" t="n">
        <v>12790</v>
      </c>
      <c r="J15" s="17" t="n">
        <v>13387</v>
      </c>
      <c r="K15" s="19">
        <f>IF(OR(I15="—",J15="—"),"",J15/I15-1)</f>
        <v/>
      </c>
      <c r="L15" s="19" t="n">
        <v>0.4999858989104882</v>
      </c>
      <c r="M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  <c r="I16" s="21">
        <f>SUM(I4:I15)</f>
        <v/>
      </c>
      <c r="J16" s="21">
        <f>SUM(J4:J15)</f>
        <v/>
      </c>
      <c r="K16" s="37">
        <f>J16/I16-1</f>
        <v/>
      </c>
    </row>
    <row r="18">
      <c r="A18" s="32" t="inlineStr">
        <is>
          <t>IKI PENCERE: sol blok OKUL-HIZALI pencere (sezon kiyasi), sag blok OCAK-AGUSTOS kumulatif (yil geneli).</t>
        </is>
      </c>
    </row>
    <row r="19">
      <c r="A19" s="32" t="inlineStr">
        <is>
          <t>ESLESME: kategori (urun) -&gt; o urune bakan reyon (bolum). Kadro Δ o BOLUMUN kadrolu degisimidir.</t>
        </is>
      </c>
    </row>
    <row r="20">
      <c r="A20" s="32" t="inlineStr">
        <is>
          <t>OKUNACAK: kadro artisi en hizli buyuyen kategorilere gitti (Hazirlik Kitaplari, Kirtasiye, Akademi);</t>
        </is>
      </c>
    </row>
    <row r="21">
      <c r="A21" s="32" t="inlineStr">
        <is>
          <t xml:space="preserve">   en yavas buyuyen kategoride (Cocuk Kitabi) kadro AZALTILDI. Yani alim rastgele degil.</t>
        </is>
      </c>
    </row>
    <row r="22">
      <c r="A22" s="32" t="inlineStr">
        <is>
          <t>Kapsam: uc POS magazasi, okul-hizali pencere, Sinav haric, KDV dahil, iadeler dusulmus.</t>
        </is>
      </c>
    </row>
    <row r="23">
      <c r="A23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0" customWidth="1" min="4" max="4"/>
    <col width="14" customWidth="1" min="5" max="5"/>
    <col width="14" customWidth="1" min="6" max="6"/>
    <col width="10" customWidth="1" min="7" max="7"/>
  </cols>
  <sheetData>
    <row r="1">
      <c r="A1" s="12" t="inlineStr">
        <is>
          <t>Aylık seyir — takvim ayı (üç POS mağazası, Sınav hariç, KDV dahil)</t>
        </is>
      </c>
    </row>
    <row r="3" ht="30" customHeight="1">
      <c r="A3" s="13" t="inlineStr">
        <is>
          <t>Ay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</t>
        </is>
      </c>
      <c r="E3" s="13" t="inlineStr">
        <is>
          <t>Ciro 2025 (M ₺)</t>
        </is>
      </c>
      <c r="F3" s="13" t="inlineStr">
        <is>
          <t>Ciro 2026 (M ₺)</t>
        </is>
      </c>
      <c r="G3" s="13" t="inlineStr">
        <is>
          <t>Ciro Δ</t>
        </is>
      </c>
    </row>
    <row r="4">
      <c r="A4" s="16" t="inlineStr">
        <is>
          <t>Haziran</t>
        </is>
      </c>
      <c r="B4" s="17" t="n">
        <v>286587.64</v>
      </c>
      <c r="C4" s="17" t="n">
        <v>376252</v>
      </c>
      <c r="D4" s="44">
        <f>C4/B4-1</f>
        <v/>
      </c>
      <c r="E4" s="34" t="n">
        <v>33.37095815999884</v>
      </c>
      <c r="F4" s="34" t="n">
        <v>49.92745519999964</v>
      </c>
      <c r="G4" s="44">
        <f>F4/E4-1</f>
        <v/>
      </c>
    </row>
    <row r="5">
      <c r="A5" s="16" t="inlineStr">
        <is>
          <t>Temmuz</t>
        </is>
      </c>
      <c r="B5" s="17" t="n">
        <v>269478</v>
      </c>
      <c r="C5" s="17" t="n">
        <v>367352</v>
      </c>
      <c r="D5" s="44">
        <f>C5/B5-1</f>
        <v/>
      </c>
      <c r="E5" s="34" t="n">
        <v>32.14602050999883</v>
      </c>
      <c r="F5" s="34" t="n">
        <v>55.81900908999955</v>
      </c>
      <c r="G5" s="44">
        <f>F5/E5-1</f>
        <v/>
      </c>
    </row>
    <row r="6">
      <c r="A6" s="16" t="inlineStr">
        <is>
          <t>Ağustos</t>
        </is>
      </c>
      <c r="B6" s="17" t="n">
        <v>458258.7</v>
      </c>
      <c r="C6" s="17" t="n">
        <v>483499.55</v>
      </c>
      <c r="D6" s="44">
        <f>C6/B6-1</f>
        <v/>
      </c>
      <c r="E6" s="34" t="n">
        <v>61.26123198000234</v>
      </c>
      <c r="F6" s="34" t="n">
        <v>78.08621144000011</v>
      </c>
      <c r="G6" s="44">
        <f>F6/E6-1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38">
        <f>SUM(E4:E6)</f>
        <v/>
      </c>
      <c r="F7" s="38">
        <f>SUM(F4:F6)</f>
        <v/>
      </c>
      <c r="G7" s="37">
        <f>F7/E7-1</f>
        <v/>
      </c>
    </row>
    <row r="9">
      <c r="A9" s="47" t="inlineStr">
        <is>
          <t>OKUL KAYMASI DÜZELTMESİ</t>
        </is>
      </c>
    </row>
    <row r="10">
      <c r="A10" s="16" t="inlineStr">
        <is>
          <t>Hizalı pencere (aynı talep gününe denk gelen günler)</t>
        </is>
      </c>
      <c r="B10" s="16" t="inlineStr">
        <is>
          <t>01.08 – 27.08.2025  vs  07.08 – 02.09.2026  (27 gün)</t>
        </is>
      </c>
      <c r="C10" s="48" t="n"/>
      <c r="D10" s="48" t="n"/>
      <c r="E10" s="48" t="n"/>
      <c r="F10" s="48" t="n"/>
      <c r="G10" s="49" t="n"/>
    </row>
    <row r="11">
      <c r="A11" s="16" t="inlineStr">
        <is>
          <t>Hizalı pencerede büyüme</t>
        </is>
      </c>
      <c r="B11" s="16" t="inlineStr">
        <is>
          <t>adet +%34.2 · ciro +%66.0</t>
        </is>
      </c>
      <c r="C11" s="48" t="n"/>
      <c r="D11" s="48" t="n"/>
      <c r="E11" s="48" t="n"/>
      <c r="F11" s="48" t="n"/>
      <c r="G11" s="49" t="n"/>
    </row>
    <row r="12">
      <c r="A12" s="16" t="inlineStr">
        <is>
          <t>Ağustos 2025 (gerçek)</t>
        </is>
      </c>
      <c r="B12" s="16" t="inlineStr">
        <is>
          <t>458.259 adet · 61.3 M TL</t>
        </is>
      </c>
      <c r="C12" s="48" t="n"/>
      <c r="D12" s="48" t="n"/>
      <c r="E12" s="48" t="n"/>
      <c r="F12" s="48" t="n"/>
      <c r="G12" s="49" t="n"/>
    </row>
    <row r="13">
      <c r="A13" s="16" t="inlineStr">
        <is>
          <t>Ağustos 2026 (gerçek)</t>
        </is>
      </c>
      <c r="B13" s="16" t="inlineStr">
        <is>
          <t>483.500 adet · 78.1 M TL  (adet +%5.5)</t>
        </is>
      </c>
      <c r="C13" s="48" t="n"/>
      <c r="D13" s="48" t="n"/>
      <c r="E13" s="48" t="n"/>
      <c r="F13" s="48" t="n"/>
      <c r="G13" s="49" t="n"/>
    </row>
    <row r="14">
      <c r="A14" s="50" t="inlineStr">
        <is>
          <t>Ağustos 2026 — KAYMA OLMASAYDI (tahmin)</t>
        </is>
      </c>
      <c r="B14" s="51" t="inlineStr">
        <is>
          <t>614.956 adet · 101.7 M TL</t>
        </is>
      </c>
      <c r="C14" s="48" t="n"/>
      <c r="D14" s="48" t="n"/>
      <c r="E14" s="48" t="n"/>
      <c r="F14" s="48" t="n"/>
      <c r="G14" s="49" t="n"/>
    </row>
    <row r="15">
      <c r="A15" s="50" t="inlineStr">
        <is>
          <t>EYLÜL'E KAYAN (tahmin)</t>
        </is>
      </c>
      <c r="B15" s="51" t="inlineStr">
        <is>
          <t>131.456 adet · 23.6 M TL</t>
        </is>
      </c>
      <c r="C15" s="48" t="n"/>
      <c r="D15" s="48" t="n"/>
      <c r="E15" s="48" t="n"/>
      <c r="F15" s="48" t="n"/>
      <c r="G15" s="49" t="n"/>
    </row>
    <row r="16">
      <c r="A16" s="16" t="inlineStr">
        <is>
          <t>Okul öncesi dalga — 2025 gerçekleşen (28.08 - 07.09.2025)</t>
        </is>
      </c>
      <c r="B16" s="16" t="inlineStr">
        <is>
          <t>412.212 adet · 54.1 M TL</t>
        </is>
      </c>
      <c r="C16" s="48" t="n"/>
      <c r="D16" s="48" t="n"/>
      <c r="E16" s="48" t="n"/>
      <c r="F16" s="48" t="n"/>
      <c r="G16" s="49" t="n"/>
    </row>
    <row r="17">
      <c r="A17" s="50" t="inlineStr">
        <is>
          <t>Okul öncesi dalga — 2026 beklenen (03.09 - 13.09.2026)</t>
        </is>
      </c>
      <c r="B17" s="51" t="inlineStr">
        <is>
          <t>553.164 adet · 89.8 M TL</t>
        </is>
      </c>
      <c r="C17" s="48" t="n"/>
      <c r="D17" s="48" t="n"/>
      <c r="E17" s="48" t="n"/>
      <c r="F17" s="48" t="n"/>
      <c r="G17" s="49" t="n"/>
    </row>
    <row r="19" ht="42" customHeight="1">
      <c r="A19" s="11" t="inlineStr">
        <is>
          <t>Yöntem: 2026 günleri 2025'in 6 gün öncesine denk gelir (açılış 08.09.2025 → 14.09.2026). Hizalı 27 günde ölçülen büyüme (adet %34.2 · ciro %66.0) 2025 Ağustos toplamına uygulanarak kayma-arındırılmış Ağustos bulunur. VARSAYIM: talep kaybı yok, yalnız zamanlama kaydı. Bugünün verisi HARİÇ (eTip 100 gün içinde yeniden yazılır); son tam gün 02.09.2026.</t>
        </is>
      </c>
    </row>
    <row r="22">
      <c r="A22" s="32" t="inlineStr">
        <is>
          <t>AGUSTOS NEDEN ZAYIF GORUNUYOR: okullar 2025'te 8 Eylul, 2026'da 14 Eylul acildi (6 gun kayma).</t>
        </is>
      </c>
    </row>
    <row r="23">
      <c r="A23" s="32" t="inlineStr">
        <is>
          <t xml:space="preserve">   2025'in son-Agustos alis dalgasi 2026'da EYLUL'e kaydi -&gt; takvim ayi kiyasinda Agustos dusuk cikar.</t>
        </is>
      </c>
    </row>
    <row r="24">
      <c r="A24" s="32" t="inlineStr">
        <is>
          <t xml:space="preserve">   Temmuz +%36,3 adet, Agustos +%5,5 adet: fark talep kaybi degil, TAKVIM.</t>
        </is>
      </c>
    </row>
    <row r="25">
      <c r="A25" s="32" t="inlineStr">
        <is>
          <t>Dogru kiyas okul-acilisina hizali penceredir (Ozet sayfasi): adet +%34,9 · ciro +%70,7.</t>
        </is>
      </c>
    </row>
    <row r="26">
      <c r="A26" s="32" t="inlineStr">
        <is>
          <t>Bu sayfa 'ay ay ne oldu' sorusunun cevabidir; kadro kiyasinda hizali pencere kullanilir.</t>
        </is>
      </c>
    </row>
  </sheetData>
  <mergeCells count="9">
    <mergeCell ref="B16:G16"/>
    <mergeCell ref="B10:G10"/>
    <mergeCell ref="B14:G14"/>
    <mergeCell ref="B17:G17"/>
    <mergeCell ref="B12:G12"/>
    <mergeCell ref="B13:G13"/>
    <mergeCell ref="A19:G19"/>
    <mergeCell ref="B15:G15"/>
    <mergeCell ref="B11:G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2062663.43</v>
      </c>
      <c r="D4" s="52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2295719.43</v>
      </c>
      <c r="D5" s="52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2752131.04</v>
      </c>
      <c r="D6" s="52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3607142.91</v>
      </c>
      <c r="D7" s="52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2752131.04</v>
      </c>
      <c r="C4" s="17" t="n">
        <v>3607142.91</v>
      </c>
      <c r="D4" s="19">
        <f>C4/B4-1</f>
        <v/>
      </c>
      <c r="E4" s="17" t="n">
        <v>315972605.8798304</v>
      </c>
      <c r="F4" s="17" t="n">
        <v>489364071.8499232</v>
      </c>
      <c r="G4" s="19">
        <f>F4/E4-1</f>
        <v/>
      </c>
    </row>
    <row r="5">
      <c r="A5" s="16" t="inlineStr">
        <is>
          <t>Sinav Okullari (kurumsal)</t>
        </is>
      </c>
      <c r="B5" s="17" t="n">
        <v>33838</v>
      </c>
      <c r="C5" s="17" t="n">
        <v>21859</v>
      </c>
      <c r="D5" s="19">
        <f>C5/B5-1</f>
        <v/>
      </c>
      <c r="E5" s="17" t="n">
        <v>136195263.79</v>
      </c>
      <c r="F5" s="17" t="n">
        <v>105644862.04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</cols>
  <sheetData>
    <row r="1">
      <c r="A1" s="12" t="inlineStr">
        <is>
          <t>Norm kadro (11.08.2026, sezon dışı) ile gerçek kadrolu karşılaştırması</t>
        </is>
      </c>
    </row>
    <row r="3" ht="30" customHeight="1">
      <c r="A3" s="13" t="inlineStr">
        <is>
          <t>Mağaza / Grup</t>
        </is>
      </c>
      <c r="B3" s="13" t="inlineStr">
        <is>
          <t>Norm kadrolu</t>
        </is>
      </c>
      <c r="C3" s="13" t="inlineStr">
        <is>
          <t>Operasyonel kadrolu</t>
        </is>
      </c>
      <c r="D3" s="13" t="inlineStr">
        <is>
          <t>Kadrolu farkı</t>
        </is>
      </c>
      <c r="E3" s="13" t="inlineStr">
        <is>
          <t>Norm sezonluk</t>
        </is>
      </c>
      <c r="F3" s="13" t="inlineStr">
        <is>
          <t>Sezonluk 31.08</t>
        </is>
      </c>
      <c r="G3" s="13" t="inlineStr">
        <is>
          <t>Sezonluk farkı</t>
        </is>
      </c>
      <c r="H3" s="13" t="inlineStr">
        <is>
          <t>NORM TOPLAM</t>
        </is>
      </c>
      <c r="I3" s="13" t="inlineStr">
        <is>
          <t>GERÇEK TOPLAM</t>
        </is>
      </c>
      <c r="J3" s="13" t="inlineStr">
        <is>
          <t>TOPLAM FARK</t>
        </is>
      </c>
    </row>
    <row r="4">
      <c r="A4" s="16" t="inlineStr">
        <is>
          <t>Özlüce</t>
        </is>
      </c>
      <c r="B4" s="17" t="n">
        <v>45</v>
      </c>
      <c r="C4" s="17" t="n">
        <v>40</v>
      </c>
      <c r="D4" s="53">
        <f>C4-B4</f>
        <v/>
      </c>
      <c r="E4" s="17" t="n">
        <v>17</v>
      </c>
      <c r="F4" s="17" t="n">
        <v>13</v>
      </c>
      <c r="G4" s="53">
        <f>F4-E4</f>
        <v/>
      </c>
      <c r="H4" s="17" t="n">
        <v>62</v>
      </c>
      <c r="I4" s="17" t="n">
        <v>53</v>
      </c>
      <c r="J4" s="30">
        <f>I4-H4</f>
        <v/>
      </c>
    </row>
    <row r="5">
      <c r="A5" s="16" t="inlineStr">
        <is>
          <t>Fsm</t>
        </is>
      </c>
      <c r="B5" s="17" t="n">
        <v>37</v>
      </c>
      <c r="C5" s="17" t="n">
        <v>32</v>
      </c>
      <c r="D5" s="53">
        <f>C5-B5</f>
        <v/>
      </c>
      <c r="E5" s="17" t="n">
        <v>10</v>
      </c>
      <c r="F5" s="17" t="n">
        <v>11</v>
      </c>
      <c r="G5" s="53">
        <f>F5-E5</f>
        <v/>
      </c>
      <c r="H5" s="17" t="n">
        <v>47</v>
      </c>
      <c r="I5" s="17" t="n">
        <v>43</v>
      </c>
      <c r="J5" s="30">
        <f>I5-H5</f>
        <v/>
      </c>
    </row>
    <row r="6">
      <c r="A6" s="16" t="inlineStr">
        <is>
          <t>İst. Yolu</t>
        </is>
      </c>
      <c r="B6" s="17" t="n">
        <v>33</v>
      </c>
      <c r="C6" s="17" t="n">
        <v>33</v>
      </c>
      <c r="D6" s="53">
        <f>C6-B6</f>
        <v/>
      </c>
      <c r="E6" s="17" t="n">
        <v>25</v>
      </c>
      <c r="F6" s="17" t="n">
        <v>25</v>
      </c>
      <c r="G6" s="53">
        <f>F6-E6</f>
        <v/>
      </c>
      <c r="H6" s="17" t="n">
        <v>58</v>
      </c>
      <c r="I6" s="17" t="n">
        <v>58</v>
      </c>
      <c r="J6" s="30">
        <f>I6-H6</f>
        <v/>
      </c>
    </row>
    <row r="7">
      <c r="A7" s="16" t="inlineStr">
        <is>
          <t>Heykel</t>
        </is>
      </c>
      <c r="B7" s="17" t="n">
        <v>30</v>
      </c>
      <c r="C7" s="17" t="n">
        <v>26</v>
      </c>
      <c r="D7" s="53">
        <f>C7-B7</f>
        <v/>
      </c>
      <c r="E7" s="17" t="n">
        <v>20</v>
      </c>
      <c r="F7" s="17" t="n">
        <v>9</v>
      </c>
      <c r="G7" s="53">
        <f>F7-E7</f>
        <v/>
      </c>
      <c r="H7" s="17" t="n">
        <v>50</v>
      </c>
      <c r="I7" s="17" t="n">
        <v>35</v>
      </c>
      <c r="J7" s="30">
        <f>I7-H7</f>
        <v/>
      </c>
    </row>
    <row r="8">
      <c r="A8" s="36" t="inlineStr">
        <is>
          <t>TOPLAM</t>
        </is>
      </c>
      <c r="B8" s="21">
        <f>SUM(B4:B7)</f>
        <v/>
      </c>
      <c r="C8" s="21">
        <f>SUM(C4:C7)</f>
        <v/>
      </c>
      <c r="D8" s="30">
        <f>C8-B8</f>
        <v/>
      </c>
      <c r="E8" s="21">
        <f>SUM(E4:E7)</f>
        <v/>
      </c>
      <c r="F8" s="21">
        <f>SUM(F4:F7)</f>
        <v/>
      </c>
      <c r="G8" s="30">
        <f>F8-E8</f>
        <v/>
      </c>
      <c r="H8" s="21">
        <f>SUM(H4:H7)</f>
        <v/>
      </c>
      <c r="I8" s="21">
        <f>SUM(I4:I7)</f>
        <v/>
      </c>
      <c r="J8" s="30">
        <f>I8-H8</f>
        <v/>
      </c>
    </row>
    <row r="10">
      <c r="A10" s="47" t="inlineStr">
        <is>
          <t>BÖLÜM BAZINDA NORM AÇIĞI</t>
        </is>
      </c>
    </row>
    <row r="11">
      <c r="A11" s="54" t="inlineStr">
        <is>
          <t>Bölüm</t>
        </is>
      </c>
      <c r="B11" s="54" t="inlineStr">
        <is>
          <t>Norm</t>
        </is>
      </c>
      <c r="C11" s="54" t="inlineStr">
        <is>
          <t>Kadrolu 31.08</t>
        </is>
      </c>
      <c r="D11" s="54" t="inlineStr">
        <is>
          <t>Açık</t>
        </is>
      </c>
      <c r="E11" s="54" t="inlineStr">
        <is>
          <t>Fazla</t>
        </is>
      </c>
      <c r="F11" s="54" t="inlineStr">
        <is>
          <t>Sezonluk 31.08</t>
        </is>
      </c>
    </row>
    <row r="12">
      <c r="A12" s="16" t="inlineStr">
        <is>
          <t>Çocuk</t>
        </is>
      </c>
      <c r="B12" s="17" t="n">
        <v>19</v>
      </c>
      <c r="C12" s="17" t="n">
        <v>14</v>
      </c>
      <c r="D12" s="55" t="n">
        <v>5</v>
      </c>
      <c r="E12" s="17" t="inlineStr">
        <is>
          <t>—</t>
        </is>
      </c>
      <c r="F12" s="17" t="n">
        <v>5</v>
      </c>
    </row>
    <row r="13">
      <c r="A13" s="16" t="inlineStr">
        <is>
          <t>İdari̇ İşler</t>
        </is>
      </c>
      <c r="B13" s="17" t="n">
        <v>8</v>
      </c>
      <c r="C13" s="17" t="n">
        <v>6</v>
      </c>
      <c r="D13" s="55" t="n">
        <v>2</v>
      </c>
      <c r="E13" s="17" t="inlineStr">
        <is>
          <t>—</t>
        </is>
      </c>
      <c r="F13" s="17" t="n">
        <v>0</v>
      </c>
    </row>
    <row r="14">
      <c r="A14" s="16" t="inlineStr">
        <is>
          <t>Kültür</t>
        </is>
      </c>
      <c r="B14" s="17" t="n">
        <v>22</v>
      </c>
      <c r="C14" s="17" t="n">
        <v>20</v>
      </c>
      <c r="D14" s="55" t="n">
        <v>2</v>
      </c>
      <c r="E14" s="17" t="inlineStr">
        <is>
          <t>—</t>
        </is>
      </c>
      <c r="F14" s="17" t="n">
        <v>2</v>
      </c>
    </row>
    <row r="15">
      <c r="A15" s="16" t="inlineStr">
        <is>
          <t>Mağaza</t>
        </is>
      </c>
      <c r="B15" s="17" t="n">
        <v>10</v>
      </c>
      <c r="C15" s="17" t="n">
        <v>8</v>
      </c>
      <c r="D15" s="55" t="n">
        <v>2</v>
      </c>
      <c r="E15" s="17" t="inlineStr">
        <is>
          <t>—</t>
        </is>
      </c>
      <c r="F15" s="17" t="n">
        <v>0</v>
      </c>
    </row>
    <row r="16">
      <c r="A16" s="16" t="inlineStr">
        <is>
          <t>Kasa</t>
        </is>
      </c>
      <c r="B16" s="17" t="n">
        <v>16</v>
      </c>
      <c r="C16" s="17" t="n">
        <v>15</v>
      </c>
      <c r="D16" s="55" t="n">
        <v>1</v>
      </c>
      <c r="E16" s="17" t="inlineStr">
        <is>
          <t>—</t>
        </is>
      </c>
      <c r="F16" s="17" t="n">
        <v>9</v>
      </c>
    </row>
    <row r="17">
      <c r="A17" s="16" t="inlineStr">
        <is>
          <t>Akademi̇</t>
        </is>
      </c>
      <c r="B17" s="17" t="n">
        <v>10</v>
      </c>
      <c r="C17" s="17" t="n">
        <v>9</v>
      </c>
      <c r="D17" s="55" t="n">
        <v>1</v>
      </c>
      <c r="E17" s="17" t="inlineStr">
        <is>
          <t>—</t>
        </is>
      </c>
      <c r="F17" s="17" t="n">
        <v>0</v>
      </c>
    </row>
    <row r="18">
      <c r="A18" s="16" t="inlineStr">
        <is>
          <t>Muhasebe (teyit bekliyor)</t>
        </is>
      </c>
      <c r="B18" s="56" t="n">
        <v>1</v>
      </c>
      <c r="C18" s="56" t="n">
        <v>0</v>
      </c>
      <c r="D18" s="56" t="inlineStr">
        <is>
          <t>—</t>
        </is>
      </c>
      <c r="E18" s="56" t="inlineStr">
        <is>
          <t>—</t>
        </is>
      </c>
      <c r="F18" s="56" t="n">
        <v>0</v>
      </c>
    </row>
    <row r="19">
      <c r="A19" s="16" t="inlineStr">
        <is>
          <t>Oyun Alani (teyit bekliyor)</t>
        </is>
      </c>
      <c r="B19" s="56" t="n">
        <v>1</v>
      </c>
      <c r="C19" s="56" t="n">
        <v>0</v>
      </c>
      <c r="D19" s="56" t="inlineStr">
        <is>
          <t>—</t>
        </is>
      </c>
      <c r="E19" s="56" t="inlineStr">
        <is>
          <t>—</t>
        </is>
      </c>
      <c r="F19" s="56" t="n">
        <v>0</v>
      </c>
    </row>
    <row r="20">
      <c r="A20" s="16" t="inlineStr">
        <is>
          <t>Yardimci Ki̇tap</t>
        </is>
      </c>
      <c r="B20" s="17" t="n">
        <v>18</v>
      </c>
      <c r="C20" s="17" t="n">
        <v>21</v>
      </c>
      <c r="D20" s="17" t="inlineStr">
        <is>
          <t>—</t>
        </is>
      </c>
      <c r="E20" s="17" t="n">
        <v>3</v>
      </c>
      <c r="F20" s="17" t="n">
        <v>15</v>
      </c>
    </row>
    <row r="21">
      <c r="A21" s="16" t="inlineStr">
        <is>
          <t>Mal Kabul</t>
        </is>
      </c>
      <c r="B21" s="17" t="n">
        <v>6</v>
      </c>
      <c r="C21" s="17" t="n">
        <v>5</v>
      </c>
      <c r="D21" s="55" t="n">
        <v>1</v>
      </c>
      <c r="E21" s="17" t="inlineStr">
        <is>
          <t>—</t>
        </is>
      </c>
      <c r="F21" s="17" t="n">
        <v>1</v>
      </c>
    </row>
    <row r="22">
      <c r="A22" s="16" t="inlineStr">
        <is>
          <t>Kirtasi̇ye</t>
        </is>
      </c>
      <c r="B22" s="17" t="n">
        <v>24</v>
      </c>
      <c r="C22" s="17" t="n">
        <v>23</v>
      </c>
      <c r="D22" s="55" t="n">
        <v>1</v>
      </c>
      <c r="E22" s="17" t="inlineStr">
        <is>
          <t>—</t>
        </is>
      </c>
      <c r="F22" s="17" t="n">
        <v>22</v>
      </c>
    </row>
    <row r="23">
      <c r="A23" s="16" t="inlineStr">
        <is>
          <t>Oyuncak</t>
        </is>
      </c>
      <c r="B23" s="17" t="n">
        <v>10</v>
      </c>
      <c r="C23" s="17" t="n">
        <v>10</v>
      </c>
      <c r="D23" s="17" t="inlineStr">
        <is>
          <t>—</t>
        </is>
      </c>
      <c r="E23" s="17" t="inlineStr">
        <is>
          <t>—</t>
        </is>
      </c>
      <c r="F23" s="17" t="n">
        <v>0</v>
      </c>
    </row>
    <row r="24">
      <c r="A24" s="16" t="inlineStr">
        <is>
          <t>Etki̇nli̇k</t>
        </is>
      </c>
      <c r="B24" s="17" t="n">
        <v>0</v>
      </c>
      <c r="C24" s="17" t="n">
        <v>3</v>
      </c>
      <c r="D24" s="17" t="inlineStr">
        <is>
          <t>—</t>
        </is>
      </c>
      <c r="E24" s="17" t="n">
        <v>3</v>
      </c>
      <c r="F24" s="17" t="n">
        <v>0</v>
      </c>
    </row>
    <row r="25">
      <c r="A25" s="16" t="inlineStr">
        <is>
          <t>Kiyafet</t>
        </is>
      </c>
      <c r="B25" s="17" t="n">
        <v>0</v>
      </c>
      <c r="C25" s="17" t="n">
        <v>0</v>
      </c>
      <c r="D25" s="17" t="inlineStr">
        <is>
          <t>—</t>
        </is>
      </c>
      <c r="E25" s="17" t="inlineStr">
        <is>
          <t>—</t>
        </is>
      </c>
      <c r="F25" s="17" t="n">
        <v>4</v>
      </c>
    </row>
    <row r="26">
      <c r="A26" s="36" t="inlineStr">
        <is>
          <t>TOPLAM</t>
        </is>
      </c>
      <c r="B26" s="21" t="n">
        <v>145</v>
      </c>
      <c r="C26" s="21" t="n">
        <v>134</v>
      </c>
      <c r="D26" s="21" t="n">
        <v>15</v>
      </c>
      <c r="E26" s="21" t="n">
        <v>3</v>
      </c>
      <c r="F26" s="21" t="n">
        <v>58</v>
      </c>
    </row>
    <row r="27">
      <c r="A27" s="57" t="inlineStr">
        <is>
          <t>Etkinlik (norm dışı)</t>
        </is>
      </c>
      <c r="C27" s="56" t="n">
        <v>3</v>
      </c>
    </row>
    <row r="28">
      <c r="A28" s="57" t="inlineStr">
        <is>
          <t>Engelli (norm dışı)</t>
        </is>
      </c>
      <c r="C28" s="56" t="n">
        <v>3</v>
      </c>
    </row>
    <row r="29">
      <c r="A29" s="58" t="inlineStr">
        <is>
          <t>Kayıt toplamı (İK, tüm gruplar)</t>
        </is>
      </c>
      <c r="C29" s="17" t="n">
        <v>137</v>
      </c>
      <c r="F29" s="17" t="n">
        <v>58</v>
      </c>
      <c r="I29" s="17" t="n">
        <v>195</v>
      </c>
    </row>
    <row r="31">
      <c r="A31" s="32" t="inlineStr">
        <is>
          <t>KURAL: norm = ENGELLI DISINDAKI personel (yonetim karari). Magaza satirlari OPERASYONEL kadroyu gosterir (kadrolu - engelli - etkinlik); en altta IK'nin kayit toplami durur.</t>
        </is>
      </c>
    </row>
    <row r="32">
      <c r="A32" s="32" t="inlineStr">
        <is>
          <t>⚠ BOLUM acigi (15) MAGAZA acigindan (14) BUYUK: magaza icinde bir bolumun fazlasi baska bolumun acigini maskeler.</t>
        </is>
      </c>
    </row>
    <row r="33">
      <c r="A33" s="32" t="inlineStr">
        <is>
          <t>TEYIT BEKLEYEN: normda tanimli ama kayitta HIC kisi olmayan bolum(ler) Muhasebe, Oyun Alani = 2 kisi. Bolum adi Zirve'de baska yazili olabilir (key-mismatch) veya bolum gercekten bos; ACIK TOPLAMINA DAHIL EDILMEDI.</t>
        </is>
      </c>
    </row>
    <row r="34">
      <c r="A34" s="32" t="inlineStr">
        <is>
          <t>ENGELLI TESPITI: Personelno bicimi yuzunden atlanan kayit sayisi 0 (0 olmali; &gt;0 ise engelli sayisi ALT SINIR, norm acigi oldugundan kucuk gorunur).</t>
        </is>
      </c>
    </row>
    <row r="35">
      <c r="A35" s="32" t="inlineStr">
        <is>
          <t>NORM SEZON DISI kadroyu tanimlar -&gt; sezonluk personel norma DAHIL DEGIL; kiyas yalniz KADROLU ile.</t>
        </is>
      </c>
    </row>
    <row r="36">
      <c r="A36" s="32" t="inlineStr">
        <is>
          <t>Norm kaynagi: norm-kadro-20260811.json (11.08.2026). Yonetim parametresi, Zirve'den sorgulanmaz.</t>
        </is>
      </c>
    </row>
    <row r="37">
      <c r="A37" s="32" t="inlineStr">
        <is>
          <t>KAPSAM DISI: Şura norm tablosunda yok.</t>
        </is>
      </c>
    </row>
    <row r="38">
      <c r="A38" s="32" t="inlineStr">
        <is>
          <t>Eksi fark = normun ALTINDA calisiliyor. 31.08'de norm 145, OPERASYONEL kadrolu 131 (kayit 137 - engelli/etkinlik). Ustteki tablo operasyonel rakami gosterir.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2" t="inlineStr">
        <is>
          <t>Personel maliyeti ve ciro orani — 01-07 ay (Oca–Tem), her iki yıl, uc POS magazasi (İst. Yolu · Özlüce · Fsm)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Degisim</t>
        </is>
      </c>
    </row>
    <row r="4">
      <c r="A4" s="16" t="inlineStr">
        <is>
          <t>Kisi-ay (bordro satiri)</t>
        </is>
      </c>
      <c r="B4" s="17" t="n">
        <v>781</v>
      </c>
      <c r="C4" s="17" t="n">
        <v>856</v>
      </c>
      <c r="D4" s="44">
        <f>C4/B4-1</f>
        <v/>
      </c>
    </row>
    <row r="5">
      <c r="A5" s="16" t="inlineStr">
        <is>
          <t>Brut ucret toplami</t>
        </is>
      </c>
      <c r="B5" s="17" t="n">
        <v>25335535.94970002</v>
      </c>
      <c r="C5" s="17" t="n">
        <v>38122041.40320002</v>
      </c>
      <c r="D5" s="44">
        <f>C5/B5-1</f>
        <v/>
      </c>
    </row>
    <row r="6">
      <c r="A6" s="16" t="inlineStr">
        <is>
          <t>Isveren SGK hissesi</t>
        </is>
      </c>
      <c r="B6" s="17" t="n">
        <v>5363453.390000004</v>
      </c>
      <c r="C6" s="17" t="n">
        <v>8415547.840000011</v>
      </c>
      <c r="D6" s="44">
        <f>C6/B6-1</f>
        <v/>
      </c>
    </row>
    <row r="7">
      <c r="A7" s="16" t="inlineStr">
        <is>
          <t>Isveren issizlik payi</t>
        </is>
      </c>
      <c r="B7" s="17" t="n">
        <v>457439.0400000003</v>
      </c>
      <c r="C7" s="17" t="n">
        <v>679771.7700000003</v>
      </c>
      <c r="D7" s="44">
        <f>C7/B7-1</f>
        <v/>
      </c>
    </row>
    <row r="8">
      <c r="A8" s="20" t="inlineStr">
        <is>
          <t>PERSONEL MALIYETI (brut isveren)</t>
        </is>
      </c>
      <c r="B8" s="52" t="n">
        <v>31156428.37970001</v>
      </c>
      <c r="C8" s="52" t="n">
        <v>47217361.01320001</v>
      </c>
      <c r="D8" s="59">
        <f>C8/B8-1</f>
        <v/>
      </c>
    </row>
    <row r="9">
      <c r="A9" s="16" t="inlineStr">
        <is>
          <t>Net odenen (bilgi)</t>
        </is>
      </c>
      <c r="B9" s="17" t="n">
        <v>16640194.22</v>
      </c>
      <c r="C9" s="17" t="n">
        <v>25058013.1425</v>
      </c>
      <c r="D9" s="44">
        <f>C9/B9-1</f>
        <v/>
      </c>
    </row>
    <row r="10">
      <c r="A10" s="16" t="inlineStr">
        <is>
          <t>Ciro (KDV haric, Sinav dahil)</t>
        </is>
      </c>
      <c r="B10" s="17" t="n">
        <v>242487002.9100002</v>
      </c>
      <c r="C10" s="17" t="n">
        <v>388687036.5200024</v>
      </c>
      <c r="D10" s="44">
        <f>C10/B10-1</f>
        <v/>
      </c>
    </row>
    <row r="11">
      <c r="A11" s="16" t="inlineStr">
        <is>
          <t>Kisi-ay basina maliyet</t>
        </is>
      </c>
      <c r="B11" s="17" t="n">
        <v>39892.99408412293</v>
      </c>
      <c r="C11" s="17" t="n">
        <v>55160.4684733645</v>
      </c>
      <c r="D11" s="44">
        <f>C11/B11-1</f>
        <v/>
      </c>
    </row>
    <row r="12">
      <c r="A12" s="16" t="inlineStr">
        <is>
          <t>Kisi-ay basina ciro</t>
        </is>
      </c>
      <c r="B12" s="17" t="n">
        <v>310482.7181946225</v>
      </c>
      <c r="C12" s="17" t="n">
        <v>454073.6407943954</v>
      </c>
      <c r="D12" s="44">
        <f>C12/B12-1</f>
        <v/>
      </c>
    </row>
    <row r="13">
      <c r="A13" s="20" t="inlineStr">
        <is>
          <t>MALIYET / CIRO ORANI</t>
        </is>
      </c>
      <c r="B13" s="60" t="n">
        <v>0.1284870034509182</v>
      </c>
      <c r="C13" s="60" t="n">
        <v>0.1214791247887943</v>
      </c>
      <c r="D13" s="61">
        <f>C13-B13</f>
        <v/>
      </c>
      <c r="E13" s="62" t="inlineStr">
        <is>
          <t>yuzde PUAN farki (eksi = ciro icindeki personel yuku azaldi)</t>
        </is>
      </c>
    </row>
    <row r="15">
      <c r="A15" s="47" t="inlineStr">
        <is>
          <t>SUBE BAZINDA MALIYET VE FAZLA MESAI (bes magaza)</t>
        </is>
      </c>
    </row>
    <row r="16">
      <c r="A16" s="54" t="inlineStr">
        <is>
          <t>Sube</t>
        </is>
      </c>
      <c r="B16" s="54" t="inlineStr">
        <is>
          <t>Kisi-ay 2025</t>
        </is>
      </c>
      <c r="C16" s="54" t="inlineStr">
        <is>
          <t>Kisi-ay 2026</t>
        </is>
      </c>
      <c r="D16" s="54" t="inlineStr">
        <is>
          <t>Maliyet 2025</t>
        </is>
      </c>
      <c r="E16" s="54" t="inlineStr">
        <is>
          <t>Maliyet 2026</t>
        </is>
      </c>
      <c r="F16" s="54" t="inlineStr">
        <is>
          <t>Maliyet Δ</t>
        </is>
      </c>
      <c r="G16" s="54" t="inlineStr">
        <is>
          <t>FM saat 2025</t>
        </is>
      </c>
      <c r="H16" s="54" t="inlineStr">
        <is>
          <t>FM saat 2026</t>
        </is>
      </c>
      <c r="I16" s="54" t="inlineStr">
        <is>
          <t>FM tutar 2026</t>
        </is>
      </c>
    </row>
    <row r="17">
      <c r="A17" s="16" t="inlineStr">
        <is>
          <t>Fsm</t>
        </is>
      </c>
      <c r="B17" s="17" t="n">
        <v>267</v>
      </c>
      <c r="C17" s="17" t="n">
        <v>273</v>
      </c>
      <c r="D17" s="17" t="n">
        <v>10505479.13700001</v>
      </c>
      <c r="E17" s="17" t="n">
        <v>15336984.19000001</v>
      </c>
      <c r="F17" s="19">
        <f>E17/D17-1</f>
        <v/>
      </c>
      <c r="G17" s="34" t="n">
        <v>2010</v>
      </c>
      <c r="H17" s="34" t="n">
        <v>2084</v>
      </c>
      <c r="I17" s="17" t="n">
        <v>323297.7100000001</v>
      </c>
    </row>
    <row r="18">
      <c r="A18" s="16" t="inlineStr">
        <is>
          <t>Heykel</t>
        </is>
      </c>
      <c r="B18" s="17" t="n">
        <v>210</v>
      </c>
      <c r="C18" s="17" t="n">
        <v>208</v>
      </c>
      <c r="D18" s="17" t="n">
        <v>8934645.077999998</v>
      </c>
      <c r="E18" s="17" t="n">
        <v>12368114.50640001</v>
      </c>
      <c r="F18" s="19">
        <f>E18/D18-1</f>
        <v/>
      </c>
      <c r="G18" s="34" t="n">
        <v>1608</v>
      </c>
      <c r="H18" s="34" t="n">
        <v>1606.5</v>
      </c>
      <c r="I18" s="17" t="n">
        <v>252249.6700000001</v>
      </c>
    </row>
    <row r="19">
      <c r="A19" s="16" t="inlineStr">
        <is>
          <t>Özlüce</t>
        </is>
      </c>
      <c r="B19" s="17" t="n">
        <v>294</v>
      </c>
      <c r="C19" s="17" t="n">
        <v>323</v>
      </c>
      <c r="D19" s="17" t="n">
        <v>12022817.438</v>
      </c>
      <c r="E19" s="17" t="n">
        <v>17601765.7182</v>
      </c>
      <c r="F19" s="19">
        <f>E19/D19-1</f>
        <v/>
      </c>
      <c r="G19" s="34" t="n">
        <v>2518</v>
      </c>
      <c r="H19" s="34" t="n">
        <v>3144</v>
      </c>
      <c r="I19" s="17" t="n">
        <v>499150.3099999993</v>
      </c>
    </row>
    <row r="20">
      <c r="A20" s="16" t="inlineStr">
        <is>
          <t>İst. Yolu</t>
        </is>
      </c>
      <c r="B20" s="17" t="n">
        <v>220</v>
      </c>
      <c r="C20" s="17" t="n">
        <v>260</v>
      </c>
      <c r="D20" s="17" t="n">
        <v>8628131.804699995</v>
      </c>
      <c r="E20" s="17" t="n">
        <v>14278611.10500001</v>
      </c>
      <c r="F20" s="19">
        <f>E20/D20-1</f>
        <v/>
      </c>
      <c r="G20" s="34" t="n">
        <v>1800.5</v>
      </c>
      <c r="H20" s="34" t="n">
        <v>2400.51</v>
      </c>
      <c r="I20" s="17" t="n">
        <v>361480.5099999998</v>
      </c>
    </row>
    <row r="21">
      <c r="A21" s="16" t="inlineStr">
        <is>
          <t>Şura</t>
        </is>
      </c>
      <c r="B21" s="17" t="n">
        <v>63</v>
      </c>
      <c r="C21" s="17" t="n">
        <v>79</v>
      </c>
      <c r="D21" s="17" t="n">
        <v>3016259.480500001</v>
      </c>
      <c r="E21" s="17" t="n">
        <v>5701231.434999999</v>
      </c>
      <c r="F21" s="19">
        <f>E21/D21-1</f>
        <v/>
      </c>
      <c r="G21" s="34" t="n">
        <v>277</v>
      </c>
      <c r="H21" s="34" t="n">
        <v>212.5</v>
      </c>
      <c r="I21" s="17" t="n">
        <v>37862.25999999999</v>
      </c>
    </row>
    <row r="23">
      <c r="A23" s="47" t="inlineStr">
        <is>
          <t>FAZLA MESAI VE YASAL SINIR (4857 s.K. m.41 — yillik 270 saat)</t>
        </is>
      </c>
    </row>
    <row r="24">
      <c r="A24" s="16" t="inlineStr">
        <is>
          <t>Fiili FM saat 2025 (uc POS)</t>
        </is>
      </c>
      <c r="B24" s="34" t="n">
        <v>6328.5</v>
      </c>
    </row>
    <row r="25">
      <c r="A25" s="16" t="inlineStr">
        <is>
          <t>Fiili FM saat 2026 (uc POS)</t>
        </is>
      </c>
      <c r="B25" s="34" t="n">
        <v>7628.51</v>
      </c>
    </row>
    <row r="26">
      <c r="A26" s="16" t="inlineStr">
        <is>
          <t>Kisi basi YILLIK FM 2025 (saat)</t>
        </is>
      </c>
      <c r="B26" s="34" t="n">
        <v>97.23687580025609</v>
      </c>
    </row>
    <row r="27">
      <c r="A27" s="16" t="inlineStr">
        <is>
          <t>Kisi basi YILLIK FM 2026 (saat)</t>
        </is>
      </c>
      <c r="B27" s="34" t="n">
        <v>106.9417289719626</v>
      </c>
    </row>
    <row r="28">
      <c r="A28" s="16" t="inlineStr">
        <is>
          <t>Yillik sinir hizinda kisi-ay 2025</t>
        </is>
      </c>
      <c r="B28" s="17" t="n">
        <v>32</v>
      </c>
    </row>
    <row r="29">
      <c r="A29" s="16" t="inlineStr">
        <is>
          <t>Yillik sinir hizinda kisi-ay 2026</t>
        </is>
      </c>
      <c r="B29" s="17" t="n">
        <v>95</v>
      </c>
    </row>
    <row r="30">
      <c r="A30" s="16" t="inlineStr">
        <is>
          <t>VARSAYIM: kadro 2025 seviyesinde kalsaydi eksik kisi-ay</t>
        </is>
      </c>
      <c r="B30" s="17" t="n">
        <v>75</v>
      </c>
    </row>
    <row r="31">
      <c r="A31" s="16" t="inlineStr">
        <is>
          <t>VARSAYIM: gereken EK fazla mesai (saat)</t>
        </is>
      </c>
      <c r="B31" s="34" t="n">
        <v>14625</v>
      </c>
    </row>
    <row r="32">
      <c r="A32" s="20" t="inlineStr">
        <is>
          <t>VARSAYIM: kisi basi YILLIK FM (saat)</t>
        </is>
      </c>
      <c r="B32" s="63" t="n">
        <v>341.9233290653009</v>
      </c>
    </row>
    <row r="33">
      <c r="A33" s="20" t="inlineStr">
        <is>
          <t>YASAL UST SINIR (saat/yil/kisi)</t>
        </is>
      </c>
      <c r="B33" s="63" t="n">
        <v>270</v>
      </c>
    </row>
    <row r="35">
      <c r="A35" s="32" t="inlineStr">
        <is>
          <t>FORMUL: Personel maliyeti = Brüt Toplam (Bt) + İşveren SGK Hissesi (Isskk) + İşveren İşsizlik Payı (Iisk) — Zirve bordro vw_PuanBil, yönetimin kendi bordro kontrol raporundaki formül.</t>
        </is>
      </c>
    </row>
    <row r="36">
      <c r="A36" s="32" t="inlineStr">
        <is>
          <t>PENCERE: 01-07 ay (Oca–Tem), her iki yıl — Agustos bordrosu henuz kosmadigi icin son TAM bordro ayina kadar alinir (eksik ay maliyeti %80+ dusuk gosterir).</t>
        </is>
      </c>
    </row>
    <row r="37">
      <c r="A37" s="32" t="inlineStr">
        <is>
          <t>ORAN: maliyet/ciro yuzde PUAN olarak kiyaslanir. Ciro KDV HARIC (maliyet de KDV'siz), Sinav DAHIL (o satisi da ayni magaza personeli yapiyor).</t>
        </is>
      </c>
    </row>
    <row r="38">
      <c r="A38" s="32" t="inlineStr">
        <is>
          <t>K-22 VARSAYIM: İşgücü ihtiyacı kişi sayısıyla doğru orantılı kabul edilir; 75 kişi-aylık kapasite eksiği ancak fazla mesaiyle kapanırdı (kişi-ay başına 195 saat normal çalışma). Yasal çerçeve: 4857 s.K. m.41 yıllık 270 saat üst sınır.</t>
        </is>
      </c>
    </row>
    <row r="39">
      <c r="A39" s="32" t="inlineStr">
        <is>
          <t>⚠ Sube dagilimi personelin BUGUNKU subesine gore yapilir (bordro ayindaki subesi degil) — toplamlar dogru, sube kirilimi yer degistirenlerde kayabilir.</t>
        </is>
      </c>
    </row>
    <row r="40">
      <c r="A40" s="32" t="inlineStr">
        <is>
          <t>KVKK: kisi bazli ucret/maliyet YOK; tum rakamlar sube/kapsam duzeyinde toplulastirilmis.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64" t="inlineStr">
        <is>
          <t>Baslik</t>
        </is>
      </c>
      <c r="B3" s="65" t="inlineStr">
        <is>
          <t>Kişi başı iş hacmi — sezon 2026 vs 2025</t>
        </is>
      </c>
    </row>
    <row r="4" ht="30" customHeight="1">
      <c r="A4" s="64" t="inlineStr">
        <is>
          <t>Kesim tarihi</t>
        </is>
      </c>
      <c r="B4" s="65" t="inlineStr">
        <is>
          <t>otomatik (veri sonu, okul-hizalı pencerede)</t>
        </is>
      </c>
    </row>
    <row r="5" ht="30" customHeight="1">
      <c r="A5" s="64" t="inlineStr">
        <is>
          <t>Pencere</t>
        </is>
      </c>
      <c r="B5" s="65" t="inlineStr">
        <is>
          <t>Okul açılışına hizalı — 2025: 01.07.2025 – 25.08.2025 · 2026: 07.07.2026 – 31.08.2026 (her iki yıl 56 gün; açılış 20250908 ve 20260914, gün ofseti -69..-14)</t>
        </is>
      </c>
    </row>
    <row r="6" ht="30" customHeight="1">
      <c r="A6" s="64" t="inlineStr">
        <is>
          <t>Kadro kaynagi</t>
        </is>
      </c>
      <c r="B6" s="65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64" t="inlineStr">
        <is>
          <t>Is hacmi kaynagi</t>
        </is>
      </c>
      <c r="B7" s="65" t="inlineStr">
        <is>
          <t>DerinSIS irs/irsAyr eTip=100 (POS satışı), Sınav Okulları/Kıyafet hariç, iade netlenmiş</t>
        </is>
      </c>
    </row>
    <row r="8" ht="30" customHeight="1">
      <c r="A8" s="64" t="inlineStr">
        <is>
          <t>Cekirdek SQL</t>
        </is>
      </c>
      <c r="B8" s="65" t="inlineStr">
        <is>
          <t>sorgular/2026-09-02-kadro-vs-is-hacmi-savunma.sql (blok 11)</t>
        </is>
      </c>
    </row>
    <row r="10">
      <c r="A10" s="47" t="inlineStr">
        <is>
          <t>Dikkat edilecekler</t>
        </is>
      </c>
    </row>
    <row r="11" ht="28" customHeight="1">
      <c r="B11" s="66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66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66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66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66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66" t="inlineStr">
        <is>
          <t>• Fiş sayısı bu kaynakta yok: eTip 100 günlük özet belgedir (bir gün = bir belge).</t>
        </is>
      </c>
    </row>
    <row r="17" ht="28" customHeight="1">
      <c r="B17" s="66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2026-09-02T21:47:32Z</dcterms:created>
  <dcterms:modified xmlns:dcterms="http://purl.org/dc/terms/" xmlns:xsi="http://www.w3.org/2001/XMLSchema-instance" xsi:type="dcterms:W3CDTF">2026-09-02T21:47:32Z</dcterms:modified>
</cp:coreProperties>
</file>