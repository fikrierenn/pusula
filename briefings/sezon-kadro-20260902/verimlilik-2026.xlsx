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Maliyet" sheetId="11" state="visible" r:id="rId11"/>
    <sheet xmlns:r="http://schemas.openxmlformats.org/officeDocument/2006/relationships" name="Yontem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.00%;-0.00%"/>
    <numFmt numFmtId="171" formatCode="+0 kişi;-0 kişi"/>
    <numFmt numFmtId="172" formatCode="+0,0%"/>
    <numFmt numFmtId="173" formatCode="0,0&quot;x&quot;"/>
  </numFmts>
  <fonts count="18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i val="1"/>
      <sz val="10"/>
    </font>
    <font>
      <b val="1"/>
      <color rgb="00A6001A"/>
      <sz val="9"/>
    </font>
    <font>
      <i val="1"/>
      <sz val="9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7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  <fill>
      <patternFill patternType="solid">
        <fgColor rgb="00FFF6E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2" fillId="0" borderId="0" pivotButton="0" quotePrefix="0" xfId="0"/>
    <xf numFmtId="0" fontId="5" fillId="0" borderId="0" pivotButton="0" quotePrefix="0" xfId="0"/>
    <xf numFmtId="0" fontId="13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171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vertical="top" wrapText="1"/>
    </xf>
    <xf numFmtId="172" fontId="15" fillId="0" borderId="0" applyAlignment="1" pivotButton="0" quotePrefix="0" xfId="0">
      <alignment horizontal="right" vertical="center"/>
    </xf>
    <xf numFmtId="173" fontId="15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3" fontId="0" fillId="6" borderId="1" pivotButton="0" quotePrefix="0" xfId="0"/>
    <xf numFmtId="0" fontId="8" fillId="6" borderId="1" pivotButton="0" quotePrefix="0" xfId="0"/>
    <xf numFmtId="0" fontId="8" fillId="0" borderId="1" pivotButton="0" quotePrefix="0" xfId="0"/>
    <xf numFmtId="0" fontId="9" fillId="0" borderId="0" pivotButton="0" quotePrefix="0" xfId="0"/>
    <xf numFmtId="166" fontId="3" fillId="0" borderId="1" pivotButton="0" quotePrefix="0" xfId="0"/>
    <xf numFmtId="165" fontId="3" fillId="5" borderId="1" pivotButton="0" quotePrefix="0" xfId="0"/>
    <xf numFmtId="10" fontId="3" fillId="0" borderId="1" pivotButton="0" quotePrefix="0" xfId="0"/>
    <xf numFmtId="170" fontId="3" fillId="5" borderId="1" pivotButton="0" quotePrefix="0" xfId="0"/>
    <xf numFmtId="0" fontId="10" fillId="0" borderId="0" pivotButton="0" quotePrefix="0" xfId="0"/>
    <xf numFmtId="166" fontId="0" fillId="5" borderId="1" pivotButton="0" quotePrefix="0" xfId="0"/>
    <xf numFmtId="3" fontId="0" fillId="5" borderId="1" pivotButton="0" quotePrefix="0" xfId="0"/>
    <xf numFmtId="166" fontId="3" fillId="5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arttı.</t>
        </is>
      </c>
      <c r="C11" s="7">
        <f>'Ozet'!E8</f>
        <v/>
      </c>
    </row>
    <row r="12" ht="26" customHeight="1">
      <c r="B12" s="6" t="inlineStr">
        <is>
          <t>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arttı.</t>
        </is>
      </c>
      <c r="C13" s="7">
        <f>'Ozet'!E9</f>
        <v/>
      </c>
    </row>
    <row r="14" ht="26" customHeight="1">
      <c r="B14" s="6" t="inlineStr">
        <is>
          <t>KDV dahil, iadeler düşülmüş.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adedi ve günlük adet birlikte yükseldi.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'Ozet'!B16</f>
        <v/>
      </c>
    </row>
    <row r="18" ht="26" customHeight="1">
      <c r="B18" s="6" t="inlineStr">
        <is>
          <t>Ürün adedi ÷ kadro büyümesi (ciro oranı değil).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· Mal Kabul · İdari İşler kadrosu değişmedi; artış satış ve kasa reyonlarında.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küçüldü; mağaza tarafı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574655.7</v>
      </c>
      <c r="C8" s="17" t="n">
        <v>775031.55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66909340.21999994</v>
      </c>
      <c r="C9" s="17" t="n">
        <v>114620580.3400001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71817045.77000012</v>
      </c>
      <c r="C10" s="17" t="n">
        <v>122534175.61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173336</v>
      </c>
      <c r="F4" s="17" t="n">
        <v>258008.5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20434775.07999998</v>
      </c>
      <c r="N4" s="17" t="n">
        <v>40377406.53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28347121.58999997</v>
      </c>
      <c r="N5" s="17" t="n">
        <v>44784483.15000007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18127443.54999999</v>
      </c>
      <c r="N6" s="17" t="n">
        <v>29458690.65999999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18.50432496999895</v>
      </c>
      <c r="G4" s="34" t="n">
        <v>32.38086689999968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0.3747245332273843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10.02370843999998</v>
      </c>
      <c r="G5" s="34" t="n">
        <v>15.50422908999993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0.5770282964720119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14.49106599000013</v>
      </c>
      <c r="G6" s="34" t="n">
        <v>23.14058788999988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0.4921459875659915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1.797673394233624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11.13631268</v>
      </c>
      <c r="G8" s="34" t="n">
        <v>16.74884972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0.6655996445022569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1.475290259999999</v>
      </c>
      <c r="G9" s="34" t="n">
        <v>2.616103029999998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1.258006023303306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38785</v>
      </c>
      <c r="D10" s="17" t="n">
        <v>53872</v>
      </c>
      <c r="E10" s="44">
        <f>D10/C10-1</f>
        <v/>
      </c>
      <c r="F10" s="34" t="n">
        <v>11.64473919000002</v>
      </c>
      <c r="G10" s="34" t="n">
        <v>22.29073933999999</v>
      </c>
      <c r="H10" s="44">
        <f>G10/F10-1</f>
        <v/>
      </c>
      <c r="I10" s="17" t="n">
        <v>218692</v>
      </c>
      <c r="J10" s="17" t="n">
        <v>266398</v>
      </c>
      <c r="K10" s="19">
        <f>IF(OR(I10="—",J10="—"),"",J10/I10-1)</f>
        <v/>
      </c>
      <c r="L10" s="19" t="n">
        <v>0.463194021611737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</v>
      </c>
      <c r="G11" s="34" t="n">
        <v>1.18767378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0.4636366398909311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1.942142250000001</v>
      </c>
      <c r="G12" s="34" t="n">
        <v>6.643827519999999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1.769093453522602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0.2846255699999998</v>
      </c>
      <c r="G13" s="34" t="n">
        <v>0.42036219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0.5224217348514217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</v>
      </c>
      <c r="G14" s="34" t="n">
        <v>0.9961937399999998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0.40084276090257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0.2656298400000001</v>
      </c>
      <c r="G15" s="34" t="n">
        <v>0.3784858199999999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0.4999858989104884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33.37095815999886</v>
      </c>
      <c r="F4" s="34" t="n">
        <v>49.92745519999971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367352</v>
      </c>
      <c r="D5" s="44">
        <f>C5/B5-1</f>
        <v/>
      </c>
      <c r="E5" s="34" t="n">
        <v>32.14602050999881</v>
      </c>
      <c r="F5" s="34" t="n">
        <v>55.81900908999965</v>
      </c>
      <c r="G5" s="44">
        <f>F5/E5-1</f>
        <v/>
      </c>
    </row>
    <row r="6">
      <c r="A6" s="16" t="inlineStr">
        <is>
          <t>Ağustos</t>
        </is>
      </c>
      <c r="B6" s="17" t="n">
        <v>458258.7</v>
      </c>
      <c r="C6" s="17" t="n">
        <v>483499.55</v>
      </c>
      <c r="D6" s="44">
        <f>C6/B6-1</f>
        <v/>
      </c>
      <c r="E6" s="34" t="n">
        <v>61.26123198000223</v>
      </c>
      <c r="F6" s="34" t="n">
        <v>78.08621144000023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27.08.2025  vs  07.08 – 02.09.2026  (27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+%34.2 · ciro +%66.0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458.259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483.500 adet · 78.1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614.956 adet · 101.7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131.456 adet · 23.6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(28.08 - 07.09.2025)</t>
        </is>
      </c>
      <c r="B16" s="16" t="inlineStr">
        <is>
          <t>412.212 adet · 54.1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(03.09 - 13.09.2026)</t>
        </is>
      </c>
      <c r="B17" s="51" t="inlineStr">
        <is>
          <t>553.164 adet · 89.8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%34.2 · ciro %66.0) 2025 Ağustos toplamına uygulanarak kayma-arındırılmış Ağustos bulunur. VARSAYIM: talep kaybı yok, yalnız zamanlama kaydı. Bugünün verisi HARİÇ (eTip 100 gün içinde yeniden yazılır); son tam gün 02.09.2026.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2062663.43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2295719.43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2752131.04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3607142.91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2752131.04</v>
      </c>
      <c r="C4" s="17" t="n">
        <v>3607142.91</v>
      </c>
      <c r="D4" s="19">
        <f>C4/B4-1</f>
        <v/>
      </c>
      <c r="E4" s="17" t="n">
        <v>315972605.87983</v>
      </c>
      <c r="F4" s="17" t="n">
        <v>489364071.8499247</v>
      </c>
      <c r="G4" s="19">
        <f>F4/E4-1</f>
        <v/>
      </c>
    </row>
    <row r="5">
      <c r="A5" s="16" t="inlineStr">
        <is>
          <t>Sinav Okullari (kurumsal)</t>
        </is>
      </c>
      <c r="B5" s="17" t="n">
        <v>33838</v>
      </c>
      <c r="C5" s="17" t="n">
        <v>21859</v>
      </c>
      <c r="D5" s="19">
        <f>C5/B5-1</f>
        <v/>
      </c>
      <c r="E5" s="17" t="n">
        <v>136195263.79</v>
      </c>
      <c r="F5" s="17" t="n">
        <v>105644862.04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 / Grup</t>
        </is>
      </c>
      <c r="B3" s="13" t="inlineStr">
        <is>
          <t>Norm kadrolu</t>
        </is>
      </c>
      <c r="C3" s="13" t="inlineStr">
        <is>
          <t>Operasyonel kadrolu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40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53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32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43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33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58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Kültür</t>
        </is>
      </c>
      <c r="B13" s="17" t="n">
        <v>22</v>
      </c>
      <c r="C13" s="17" t="n">
        <v>20</v>
      </c>
      <c r="D13" s="55" t="n">
        <v>2</v>
      </c>
      <c r="E13" s="17" t="inlineStr">
        <is>
          <t>—</t>
        </is>
      </c>
      <c r="F13" s="17" t="n">
        <v>2</v>
      </c>
    </row>
    <row r="14">
      <c r="A14" s="16" t="inlineStr">
        <is>
          <t>Mağaza</t>
        </is>
      </c>
      <c r="B14" s="17" t="n">
        <v>10</v>
      </c>
      <c r="C14" s="17" t="n">
        <v>8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İdari̇ İşler</t>
        </is>
      </c>
      <c r="B15" s="17" t="n">
        <v>8</v>
      </c>
      <c r="C15" s="17" t="n">
        <v>6</v>
      </c>
      <c r="D15" s="55" t="n">
        <v>2</v>
      </c>
      <c r="E15" s="17" t="inlineStr">
        <is>
          <t>—</t>
        </is>
      </c>
      <c r="F15" s="17" t="n">
        <v>0</v>
      </c>
    </row>
    <row r="16">
      <c r="A16" s="16" t="inlineStr">
        <is>
          <t>Akademi̇</t>
        </is>
      </c>
      <c r="B16" s="17" t="n">
        <v>10</v>
      </c>
      <c r="C16" s="17" t="n">
        <v>9</v>
      </c>
      <c r="D16" s="55" t="n">
        <v>1</v>
      </c>
      <c r="E16" s="17" t="inlineStr">
        <is>
          <t>—</t>
        </is>
      </c>
      <c r="F16" s="17" t="n">
        <v>0</v>
      </c>
    </row>
    <row r="17">
      <c r="A17" s="16" t="inlineStr">
        <is>
          <t>Kasa</t>
        </is>
      </c>
      <c r="B17" s="17" t="n">
        <v>16</v>
      </c>
      <c r="C17" s="17" t="n">
        <v>15</v>
      </c>
      <c r="D17" s="55" t="n">
        <v>1</v>
      </c>
      <c r="E17" s="17" t="inlineStr">
        <is>
          <t>—</t>
        </is>
      </c>
      <c r="F17" s="17" t="n">
        <v>9</v>
      </c>
    </row>
    <row r="18">
      <c r="A18" s="16" t="inlineStr">
        <is>
          <t>Muhasebe (teyit bekliyor)</t>
        </is>
      </c>
      <c r="B18" s="56" t="n">
        <v>1</v>
      </c>
      <c r="C18" s="56" t="n">
        <v>0</v>
      </c>
      <c r="D18" s="56" t="inlineStr">
        <is>
          <t>—</t>
        </is>
      </c>
      <c r="E18" s="56" t="inlineStr">
        <is>
          <t>—</t>
        </is>
      </c>
      <c r="F18" s="56" t="n">
        <v>0</v>
      </c>
    </row>
    <row r="19">
      <c r="A19" s="16" t="inlineStr">
        <is>
          <t>Oyun Alani (teyit bekliyor)</t>
        </is>
      </c>
      <c r="B19" s="56" t="n">
        <v>1</v>
      </c>
      <c r="C19" s="56" t="n">
        <v>0</v>
      </c>
      <c r="D19" s="56" t="inlineStr">
        <is>
          <t>—</t>
        </is>
      </c>
      <c r="E19" s="56" t="inlineStr">
        <is>
          <t>—</t>
        </is>
      </c>
      <c r="F19" s="56" t="n">
        <v>0</v>
      </c>
    </row>
    <row r="20">
      <c r="A20" s="16" t="inlineStr">
        <is>
          <t>Etki̇nli̇k</t>
        </is>
      </c>
      <c r="B20" s="17" t="n">
        <v>0</v>
      </c>
      <c r="C20" s="17" t="n">
        <v>3</v>
      </c>
      <c r="D20" s="17" t="inlineStr">
        <is>
          <t>—</t>
        </is>
      </c>
      <c r="E20" s="17" t="n">
        <v>3</v>
      </c>
      <c r="F20" s="17" t="n">
        <v>0</v>
      </c>
    </row>
    <row r="21">
      <c r="A21" s="16" t="inlineStr">
        <is>
          <t>Kirtasi̇ye</t>
        </is>
      </c>
      <c r="B21" s="17" t="n">
        <v>24</v>
      </c>
      <c r="C21" s="17" t="n">
        <v>23</v>
      </c>
      <c r="D21" s="55" t="n">
        <v>1</v>
      </c>
      <c r="E21" s="17" t="inlineStr">
        <is>
          <t>—</t>
        </is>
      </c>
      <c r="F21" s="17" t="n">
        <v>22</v>
      </c>
    </row>
    <row r="22">
      <c r="A22" s="16" t="inlineStr">
        <is>
          <t>Kiyafet</t>
        </is>
      </c>
      <c r="B22" s="17" t="n">
        <v>0</v>
      </c>
      <c r="C22" s="17" t="n">
        <v>0</v>
      </c>
      <c r="D22" s="17" t="inlineStr">
        <is>
          <t>—</t>
        </is>
      </c>
      <c r="E22" s="17" t="inlineStr">
        <is>
          <t>—</t>
        </is>
      </c>
      <c r="F22" s="17" t="n">
        <v>4</v>
      </c>
    </row>
    <row r="23">
      <c r="A23" s="16" t="inlineStr">
        <is>
          <t>Mal Kabul</t>
        </is>
      </c>
      <c r="B23" s="17" t="n">
        <v>6</v>
      </c>
      <c r="C23" s="17" t="n">
        <v>5</v>
      </c>
      <c r="D23" s="55" t="n">
        <v>1</v>
      </c>
      <c r="E23" s="17" t="inlineStr">
        <is>
          <t>—</t>
        </is>
      </c>
      <c r="F23" s="17" t="n">
        <v>1</v>
      </c>
    </row>
    <row r="24">
      <c r="A24" s="16" t="inlineStr">
        <is>
          <t>Oyuncak</t>
        </is>
      </c>
      <c r="B24" s="17" t="n">
        <v>10</v>
      </c>
      <c r="C24" s="17" t="n">
        <v>10</v>
      </c>
      <c r="D24" s="17" t="inlineStr">
        <is>
          <t>—</t>
        </is>
      </c>
      <c r="E24" s="17" t="inlineStr">
        <is>
          <t>—</t>
        </is>
      </c>
      <c r="F24" s="17" t="n">
        <v>0</v>
      </c>
    </row>
    <row r="25">
      <c r="A25" s="16" t="inlineStr">
        <is>
          <t>Yardimci Ki̇tap</t>
        </is>
      </c>
      <c r="B25" s="17" t="n">
        <v>18</v>
      </c>
      <c r="C25" s="17" t="n">
        <v>21</v>
      </c>
      <c r="D25" s="17" t="inlineStr">
        <is>
          <t>—</t>
        </is>
      </c>
      <c r="E25" s="17" t="n">
        <v>3</v>
      </c>
      <c r="F25" s="17" t="n">
        <v>15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15</v>
      </c>
      <c r="E26" s="21" t="n">
        <v>3</v>
      </c>
      <c r="F26" s="21" t="n">
        <v>58</v>
      </c>
    </row>
    <row r="27">
      <c r="A27" s="57" t="inlineStr">
        <is>
          <t>Etkinlik (norm dışı)</t>
        </is>
      </c>
      <c r="C27" s="56" t="n">
        <v>3</v>
      </c>
    </row>
    <row r="28">
      <c r="A28" s="57" t="inlineStr">
        <is>
          <t>Engelli (norm dışı)</t>
        </is>
      </c>
      <c r="C28" s="56" t="n">
        <v>3</v>
      </c>
    </row>
    <row r="29">
      <c r="A29" s="58" t="inlineStr">
        <is>
          <t>Kayıt toplamı (İK, tüm gruplar)</t>
        </is>
      </c>
      <c r="C29" s="17" t="n">
        <v>137</v>
      </c>
      <c r="F29" s="17" t="n">
        <v>58</v>
      </c>
      <c r="I29" s="17" t="n">
        <v>195</v>
      </c>
    </row>
    <row r="31">
      <c r="A31" s="32" t="inlineStr">
        <is>
          <t>KURAL: norm = ENGELLI DISINDAKI personel (yonetim karari). Magaza satirlari OPERASYONEL kadroyu gosterir (kadrolu - engelli - etkinlik); en altta IK'nin kayit toplami durur.</t>
        </is>
      </c>
    </row>
    <row r="32">
      <c r="A32" s="32" t="inlineStr">
        <is>
          <t>⚠ BOLUM acigi (15) MAGAZA acigindan (14) BUYUK: magaza icinde bir bolumun fazlasi baska bolumun acigini maskeler.</t>
        </is>
      </c>
    </row>
    <row r="33">
      <c r="A33" s="32" t="inlineStr">
        <is>
          <t>TEYIT BEKLEYEN: normda tanimli ama kayitta HIC kisi olmayan bolum(ler) Muhasebe, Oyun Alani = 2 kisi. Bolum adi Zirve'de baska yazili olabilir (key-mismatch) veya bolum gercekten bos; ACIK TOPLAMINA DAHIL EDILMEDI.</t>
        </is>
      </c>
    </row>
    <row r="34">
      <c r="A34" s="32" t="inlineStr">
        <is>
          <t>ENGELLI TESPITI: Personelno bicimi yuzunden atlanan kayit sayisi 0 (0 olmali; &gt;0 ise engelli sayisi ALT SINIR, norm acigi oldugundan kucuk gorunur).</t>
        </is>
      </c>
    </row>
    <row r="35">
      <c r="A35" s="32" t="inlineStr">
        <is>
          <t>NORM SEZON DISI kadroyu tanimlar -&gt; sezonluk personel norma DAHIL DEGIL; kiyas yalniz KADROLU ile.</t>
        </is>
      </c>
    </row>
    <row r="36">
      <c r="A36" s="32" t="inlineStr">
        <is>
          <t>Norm kaynagi: norm-kadro-20260811.json (11.08.2026). Yonetim parametresi, Zirve'den sorgulanmaz.</t>
        </is>
      </c>
    </row>
    <row r="37">
      <c r="A37" s="32" t="inlineStr">
        <is>
          <t>KAPSAM DISI: Şura norm tablosunda yok.</t>
        </is>
      </c>
    </row>
    <row r="38">
      <c r="A38" s="32" t="inlineStr">
        <is>
          <t>Eksi fark = normun ALTINDA calisiliyor. 31.08'de norm 145, OPERASYONEL kadrolu 131 (kayit 137 - engelli/etkinlik). Ustteki tablo operasyonel rakami gosterir.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3" customWidth="1" min="8" max="8"/>
    <col width="13" customWidth="1" min="9" max="9"/>
  </cols>
  <sheetData>
    <row r="1">
      <c r="A1" s="12" t="inlineStr">
        <is>
          <t>Personel maliyeti ve ciro orani — ESAS PENCERE: Tem · referans: 01-07 ay (Oca–Tem), her iki yıl · uc POS magazasi (İst. Yolu · Özlüce · Fsm)</t>
        </is>
      </c>
    </row>
    <row r="2">
      <c r="A2" s="59" t="inlineStr">
        <is>
          <t>⚠ SEZON PENCERESİ EKSİK: Ağu ayı bordrosu henüz koşmadı (2026 yılı). Sezon karşılaştırması Tem ayı/ayları ile sınırlıdır; Ağustos bordrosu işlendiğinde bu blok kendiliğinden tamamlanır. Yıl geneli için «kümülatif» pencereye bakılır.</t>
        </is>
      </c>
    </row>
    <row r="3" ht="30" customHeight="1">
      <c r="A3" s="13" t="inlineStr">
        <is>
          <t>Olcu</t>
        </is>
      </c>
      <c r="B3" s="13" t="inlineStr">
        <is>
          <t>SEZON 2025</t>
        </is>
      </c>
      <c r="C3" s="13" t="inlineStr">
        <is>
          <t>SEZON 2026</t>
        </is>
      </c>
      <c r="D3" s="13" t="inlineStr">
        <is>
          <t>SEZON Δ</t>
        </is>
      </c>
      <c r="E3" s="13" t="inlineStr">
        <is>
          <t>KUM. 2025</t>
        </is>
      </c>
      <c r="F3" s="13" t="inlineStr">
        <is>
          <t>KUM. 2026</t>
        </is>
      </c>
      <c r="G3" s="13" t="inlineStr">
        <is>
          <t>KUM. Δ</t>
        </is>
      </c>
    </row>
    <row r="4">
      <c r="A4" s="20" t="inlineStr">
        <is>
          <t>FTE — tam zaman esdeger (prim gunu/30)</t>
        </is>
      </c>
      <c r="B4" s="60" t="n">
        <v>97.13333333333333</v>
      </c>
      <c r="C4" s="60" t="n">
        <v>112.4333333333333</v>
      </c>
      <c r="D4" s="61">
        <f>C4/B4-1</f>
        <v/>
      </c>
      <c r="E4" s="60" t="n">
        <v>697.0666666666666</v>
      </c>
      <c r="F4" s="60" t="n">
        <v>776.1666666666666</v>
      </c>
      <c r="G4" s="61">
        <f>F4/E4-1</f>
        <v/>
      </c>
    </row>
    <row r="5">
      <c r="A5" s="16" t="inlineStr">
        <is>
          <t>Kayit sayisi (bordro satiri, bilgi)</t>
        </is>
      </c>
      <c r="B5" s="17" t="n">
        <v>110</v>
      </c>
      <c r="C5" s="17" t="n">
        <v>127</v>
      </c>
      <c r="D5" s="44">
        <f>C5/B5-1</f>
        <v/>
      </c>
      <c r="E5" s="17" t="n">
        <v>781</v>
      </c>
      <c r="F5" s="17" t="n">
        <v>856</v>
      </c>
      <c r="G5" s="44">
        <f>F5/E5-1</f>
        <v/>
      </c>
    </row>
    <row r="6">
      <c r="A6" s="16" t="inlineStr">
        <is>
          <t>Ortalama prim gunu (kayit basina)</t>
        </is>
      </c>
      <c r="B6" s="34" t="n">
        <v>26.49090909090909</v>
      </c>
      <c r="C6" s="34" t="n">
        <v>26.55905511811024</v>
      </c>
      <c r="D6" s="44">
        <f>C6/B6-1</f>
        <v/>
      </c>
      <c r="E6" s="34" t="n">
        <v>26.77592829705506</v>
      </c>
      <c r="F6" s="34" t="n">
        <v>27.20210280373832</v>
      </c>
      <c r="G6" s="44">
        <f>F6/E6-1</f>
        <v/>
      </c>
    </row>
    <row r="7">
      <c r="A7" s="16" t="inlineStr">
        <is>
          <t>Brut ucret toplami</t>
        </is>
      </c>
      <c r="B7" s="17" t="n">
        <v>3567235.3875</v>
      </c>
      <c r="C7" s="17" t="n">
        <v>5475635.379999999</v>
      </c>
      <c r="D7" s="44">
        <f>C7/B7-1</f>
        <v/>
      </c>
      <c r="E7" s="17" t="n">
        <v>25335535.94970002</v>
      </c>
      <c r="F7" s="17" t="n">
        <v>38122041.40320002</v>
      </c>
      <c r="G7" s="44">
        <f>F7/E7-1</f>
        <v/>
      </c>
    </row>
    <row r="8">
      <c r="A8" s="16" t="inlineStr">
        <is>
          <t>Isveren SGK hissesi</t>
        </is>
      </c>
      <c r="B8" s="17" t="n">
        <v>755175.4300000001</v>
      </c>
      <c r="C8" s="17" t="n">
        <v>1209763.05</v>
      </c>
      <c r="D8" s="44">
        <f>C8/B8-1</f>
        <v/>
      </c>
      <c r="E8" s="17" t="n">
        <v>5363453.390000004</v>
      </c>
      <c r="F8" s="17" t="n">
        <v>8415547.840000011</v>
      </c>
      <c r="G8" s="44">
        <f>F8/E8-1</f>
        <v/>
      </c>
    </row>
    <row r="9">
      <c r="A9" s="16" t="inlineStr">
        <is>
          <t>Isveren issizlik payi</t>
        </is>
      </c>
      <c r="B9" s="17" t="n">
        <v>63857.65000000001</v>
      </c>
      <c r="C9" s="17" t="n">
        <v>96971.03</v>
      </c>
      <c r="D9" s="44">
        <f>C9/B9-1</f>
        <v/>
      </c>
      <c r="E9" s="17" t="n">
        <v>457439.0400000003</v>
      </c>
      <c r="F9" s="17" t="n">
        <v>679771.7700000003</v>
      </c>
      <c r="G9" s="44">
        <f>F9/E9-1</f>
        <v/>
      </c>
    </row>
    <row r="10">
      <c r="A10" s="20" t="inlineStr">
        <is>
          <t>PERSONEL MALIYETI (brut isveren)</t>
        </is>
      </c>
      <c r="B10" s="52" t="n">
        <v>4386268.467500001</v>
      </c>
      <c r="C10" s="52" t="n">
        <v>6782369.460000002</v>
      </c>
      <c r="D10" s="61">
        <f>C10/B10-1</f>
        <v/>
      </c>
      <c r="E10" s="52" t="n">
        <v>31156428.37970001</v>
      </c>
      <c r="F10" s="52" t="n">
        <v>47217361.01320001</v>
      </c>
      <c r="G10" s="61">
        <f>F10/E10-1</f>
        <v/>
      </c>
    </row>
    <row r="11">
      <c r="A11" s="16" t="inlineStr">
        <is>
          <t>Net odenen (bilgi)</t>
        </is>
      </c>
      <c r="B11" s="17" t="n">
        <v>2240039.8225</v>
      </c>
      <c r="C11" s="17" t="n">
        <v>3360516.027499999</v>
      </c>
      <c r="D11" s="44">
        <f>C11/B11-1</f>
        <v/>
      </c>
      <c r="E11" s="17" t="n">
        <v>16640194.22</v>
      </c>
      <c r="F11" s="17" t="n">
        <v>25058013.1425</v>
      </c>
      <c r="G11" s="44">
        <f>F11/E11-1</f>
        <v/>
      </c>
    </row>
    <row r="12">
      <c r="A12" s="16" t="inlineStr">
        <is>
          <t>Ciro (KDV haric, Sinav dahil)</t>
        </is>
      </c>
      <c r="B12" s="17" t="n">
        <v>30679569.86000018</v>
      </c>
      <c r="C12" s="17" t="n">
        <v>53355722.4200003</v>
      </c>
      <c r="D12" s="44">
        <f>C12/B12-1</f>
        <v/>
      </c>
      <c r="E12" s="17" t="n">
        <v>242487002.9100002</v>
      </c>
      <c r="F12" s="17" t="n">
        <v>388687036.5200024</v>
      </c>
      <c r="G12" s="44">
        <f>F12/E12-1</f>
        <v/>
      </c>
    </row>
    <row r="13">
      <c r="A13" s="16" t="inlineStr">
        <is>
          <t>FTE basina maliyet</t>
        </is>
      </c>
      <c r="B13" s="17" t="n">
        <v>45157.19081159919</v>
      </c>
      <c r="C13" s="17" t="n">
        <v>60323.47577823897</v>
      </c>
      <c r="D13" s="44">
        <f>C13/B13-1</f>
        <v/>
      </c>
      <c r="E13" s="17" t="n">
        <v>44696.48294715954</v>
      </c>
      <c r="F13" s="17" t="n">
        <v>60834.04897556368</v>
      </c>
      <c r="G13" s="44">
        <f>F13/E13-1</f>
        <v/>
      </c>
    </row>
    <row r="14">
      <c r="A14" s="16" t="inlineStr">
        <is>
          <t>FTE basina ciro</t>
        </is>
      </c>
      <c r="B14" s="17" t="n">
        <v>315850.067192864</v>
      </c>
      <c r="C14" s="17" t="n">
        <v>474554.3055440288</v>
      </c>
      <c r="D14" s="44">
        <f>C14/B14-1</f>
        <v/>
      </c>
      <c r="E14" s="17" t="n">
        <v>347867.7356206966</v>
      </c>
      <c r="F14" s="17" t="n">
        <v>500777.8009705851</v>
      </c>
      <c r="G14" s="44">
        <f>F14/E14-1</f>
        <v/>
      </c>
    </row>
    <row r="15">
      <c r="A15" s="16" t="inlineStr">
        <is>
          <t>Fazla mesai (saat)</t>
        </is>
      </c>
      <c r="B15" s="34" t="n">
        <v>643</v>
      </c>
      <c r="C15" s="34" t="n">
        <v>783</v>
      </c>
      <c r="D15" s="44">
        <f>C15/B15-1</f>
        <v/>
      </c>
      <c r="E15" s="34" t="n">
        <v>6328.5</v>
      </c>
      <c r="F15" s="34" t="n">
        <v>7628.51</v>
      </c>
      <c r="G15" s="44">
        <f>F15/E15-1</f>
        <v/>
      </c>
    </row>
    <row r="16">
      <c r="A16" s="20" t="inlineStr">
        <is>
          <t>MALIYET / CIRO ORANI</t>
        </is>
      </c>
      <c r="B16" s="62" t="n">
        <v>0.1429703378344554</v>
      </c>
      <c r="C16" s="62" t="n">
        <v>0.1271160646389757</v>
      </c>
      <c r="D16" s="63">
        <f>C16-B16</f>
        <v/>
      </c>
      <c r="E16" s="62" t="n">
        <v>0.1284870034509182</v>
      </c>
      <c r="F16" s="62" t="n">
        <v>0.1214791247887943</v>
      </c>
      <c r="G16" s="63">
        <f>F16-E16</f>
        <v/>
      </c>
    </row>
    <row r="17">
      <c r="A17" s="64" t="inlineStr">
        <is>
          <t>Δ satirlari yuzde PUAN farkidir (eksi = ciro icindeki personel yuku azaldi). SEZON = Tem (esas) · KUM. = 01-07 ay (Oca–Tem), her iki yıl (yil geneli referansi).</t>
        </is>
      </c>
    </row>
    <row r="19">
      <c r="A19" s="47" t="inlineStr">
        <is>
          <t>AYLIK KIRILIM — uc POS magazasi (* = sezon ayi)</t>
        </is>
      </c>
    </row>
    <row r="20">
      <c r="A20" s="54" t="inlineStr">
        <is>
          <t>Ay</t>
        </is>
      </c>
      <c r="B20" s="54" t="inlineStr">
        <is>
          <t>FTE 2025</t>
        </is>
      </c>
      <c r="C20" s="54" t="inlineStr">
        <is>
          <t>FTE 2026</t>
        </is>
      </c>
      <c r="D20" s="54" t="inlineStr">
        <is>
          <t>FTE Δ</t>
        </is>
      </c>
      <c r="E20" s="54" t="inlineStr">
        <is>
          <t>Maliyet 2025</t>
        </is>
      </c>
      <c r="F20" s="54" t="inlineStr">
        <is>
          <t>Maliyet 2026</t>
        </is>
      </c>
      <c r="G20" s="54" t="inlineStr">
        <is>
          <t>Maliyet Δ</t>
        </is>
      </c>
      <c r="H20" s="54" t="inlineStr">
        <is>
          <t>FM saat 2025</t>
        </is>
      </c>
      <c r="I20" s="54" t="inlineStr">
        <is>
          <t>FM saat 2026</t>
        </is>
      </c>
      <c r="J20" s="54" t="inlineStr">
        <is>
          <t>Oran 2025</t>
        </is>
      </c>
      <c r="K20" s="54" t="inlineStr">
        <is>
          <t>Oran 2026</t>
        </is>
      </c>
      <c r="L20" s="54" t="inlineStr">
        <is>
          <t>Kayit 2025</t>
        </is>
      </c>
      <c r="M20" s="54" t="inlineStr">
        <is>
          <t>Kayit 2026</t>
        </is>
      </c>
      <c r="N20" s="54" t="inlineStr">
        <is>
          <t>Ort. prim gunu 2026</t>
        </is>
      </c>
    </row>
    <row r="21">
      <c r="A21" s="16" t="inlineStr">
        <is>
          <t>Oca</t>
        </is>
      </c>
      <c r="B21" s="34" t="n">
        <v>107.4666666666667</v>
      </c>
      <c r="C21" s="34" t="n">
        <v>109.9333333333333</v>
      </c>
      <c r="D21" s="19">
        <f>C21/B21-1</f>
        <v/>
      </c>
      <c r="E21" s="17" t="n">
        <v>4474024.3825</v>
      </c>
      <c r="F21" s="17" t="n">
        <v>6217410.875</v>
      </c>
      <c r="G21" s="19">
        <f>F21/E21-1</f>
        <v/>
      </c>
      <c r="H21" s="34" t="n">
        <v>620</v>
      </c>
      <c r="I21" s="34" t="n">
        <v>727.5</v>
      </c>
      <c r="J21" s="42" t="n">
        <v>0.1064043589756458</v>
      </c>
      <c r="K21" s="42" t="n">
        <v>0.09342797291737971</v>
      </c>
      <c r="L21" s="17" t="n">
        <v>117</v>
      </c>
      <c r="M21" s="17" t="n">
        <v>121</v>
      </c>
      <c r="N21" s="34" t="n">
        <v>27.25619834710744</v>
      </c>
    </row>
    <row r="22">
      <c r="A22" s="16" t="inlineStr">
        <is>
          <t>Şub</t>
        </is>
      </c>
      <c r="B22" s="34" t="n">
        <v>100.7</v>
      </c>
      <c r="C22" s="34" t="n">
        <v>110.9333333333333</v>
      </c>
      <c r="D22" s="19">
        <f>C22/B22-1</f>
        <v/>
      </c>
      <c r="E22" s="17" t="n">
        <v>4224075.9997</v>
      </c>
      <c r="F22" s="17" t="n">
        <v>6437880.404999999</v>
      </c>
      <c r="G22" s="19">
        <f>F22/E22-1</f>
        <v/>
      </c>
      <c r="H22" s="34" t="n">
        <v>46</v>
      </c>
      <c r="I22" s="34" t="n">
        <v>65</v>
      </c>
      <c r="J22" s="42" t="n">
        <v>0.1097139082641927</v>
      </c>
      <c r="K22" s="42" t="n">
        <v>0.1128809843841212</v>
      </c>
      <c r="L22" s="17" t="n">
        <v>116</v>
      </c>
      <c r="M22" s="17" t="n">
        <v>123</v>
      </c>
      <c r="N22" s="34" t="n">
        <v>27.05691056910569</v>
      </c>
    </row>
    <row r="23">
      <c r="A23" s="16" t="inlineStr">
        <is>
          <t>Mar</t>
        </is>
      </c>
      <c r="B23" s="34" t="n">
        <v>102.8</v>
      </c>
      <c r="C23" s="34" t="n">
        <v>112.5666666666667</v>
      </c>
      <c r="D23" s="19">
        <f>C23/B23-1</f>
        <v/>
      </c>
      <c r="E23" s="17" t="n">
        <v>4600008.1925</v>
      </c>
      <c r="F23" s="17" t="n">
        <v>6842756.383199999</v>
      </c>
      <c r="G23" s="19">
        <f>F23/E23-1</f>
        <v/>
      </c>
      <c r="H23" s="34" t="n">
        <v>1361.5</v>
      </c>
      <c r="I23" s="34" t="n">
        <v>1681</v>
      </c>
      <c r="J23" s="42" t="n">
        <v>0.1388245899802142</v>
      </c>
      <c r="K23" s="42" t="n">
        <v>0.1170292741229824</v>
      </c>
      <c r="L23" s="17" t="n">
        <v>112</v>
      </c>
      <c r="M23" s="17" t="n">
        <v>119</v>
      </c>
      <c r="N23" s="34" t="n">
        <v>28.3781512605042</v>
      </c>
    </row>
    <row r="24">
      <c r="A24" s="16" t="inlineStr">
        <is>
          <t>Nis</t>
        </is>
      </c>
      <c r="B24" s="34" t="n">
        <v>97.59999999999999</v>
      </c>
      <c r="C24" s="34" t="n">
        <v>110.0333333333333</v>
      </c>
      <c r="D24" s="19">
        <f>C24/B24-1</f>
        <v/>
      </c>
      <c r="E24" s="17" t="n">
        <v>4282833.829500001</v>
      </c>
      <c r="F24" s="17" t="n">
        <v>7013152.140000001</v>
      </c>
      <c r="G24" s="19">
        <f>F24/E24-1</f>
        <v/>
      </c>
      <c r="H24" s="34" t="n">
        <v>746</v>
      </c>
      <c r="I24" s="34" t="n">
        <v>786.5</v>
      </c>
      <c r="J24" s="42" t="n">
        <v>0.1150222758867225</v>
      </c>
      <c r="K24" s="42" t="n">
        <v>0.1323692598350995</v>
      </c>
      <c r="L24" s="17" t="n">
        <v>114</v>
      </c>
      <c r="M24" s="17" t="n">
        <v>124</v>
      </c>
      <c r="N24" s="34" t="n">
        <v>26.62096774193548</v>
      </c>
    </row>
    <row r="25">
      <c r="A25" s="16" t="inlineStr">
        <is>
          <t>May</t>
        </is>
      </c>
      <c r="B25" s="34" t="n">
        <v>93.86666666666667</v>
      </c>
      <c r="C25" s="34" t="n">
        <v>112.0333333333333</v>
      </c>
      <c r="D25" s="19">
        <f>C25/B25-1</f>
        <v/>
      </c>
      <c r="E25" s="17" t="n">
        <v>4743646.205499999</v>
      </c>
      <c r="F25" s="17" t="n">
        <v>7453386.71</v>
      </c>
      <c r="G25" s="19">
        <f>F25/E25-1</f>
        <v/>
      </c>
      <c r="H25" s="34" t="n">
        <v>1144.5</v>
      </c>
      <c r="I25" s="34" t="n">
        <v>3553.01</v>
      </c>
      <c r="J25" s="42" t="n">
        <v>0.1596487262755276</v>
      </c>
      <c r="K25" s="42" t="n">
        <v>0.1384843301196873</v>
      </c>
      <c r="L25" s="17" t="n">
        <v>107</v>
      </c>
      <c r="M25" s="17" t="n">
        <v>124</v>
      </c>
      <c r="N25" s="34" t="n">
        <v>27.10483870967742</v>
      </c>
    </row>
    <row r="26">
      <c r="A26" s="16" t="inlineStr">
        <is>
          <t>Haz</t>
        </is>
      </c>
      <c r="B26" s="34" t="n">
        <v>97.5</v>
      </c>
      <c r="C26" s="34" t="n">
        <v>108.2333333333333</v>
      </c>
      <c r="D26" s="19">
        <f>C26/B26-1</f>
        <v/>
      </c>
      <c r="E26" s="17" t="n">
        <v>4445571.3025</v>
      </c>
      <c r="F26" s="17" t="n">
        <v>6470405.039999999</v>
      </c>
      <c r="G26" s="19">
        <f>F26/E26-1</f>
        <v/>
      </c>
      <c r="H26" s="34" t="n">
        <v>1767.5</v>
      </c>
      <c r="I26" s="34" t="n">
        <v>32.5</v>
      </c>
      <c r="J26" s="42" t="n">
        <v>0.1425960097198796</v>
      </c>
      <c r="K26" s="42" t="n">
        <v>0.1392147694382981</v>
      </c>
      <c r="L26" s="17" t="n">
        <v>105</v>
      </c>
      <c r="M26" s="17" t="n">
        <v>118</v>
      </c>
      <c r="N26" s="34" t="n">
        <v>27.51694915254237</v>
      </c>
    </row>
    <row r="27">
      <c r="A27" s="20" t="inlineStr">
        <is>
          <t>Tem*</t>
        </is>
      </c>
      <c r="B27" s="65" t="n">
        <v>97.13333333333333</v>
      </c>
      <c r="C27" s="65" t="n">
        <v>112.4333333333333</v>
      </c>
      <c r="D27" s="19">
        <f>C27/B27-1</f>
        <v/>
      </c>
      <c r="E27" s="66" t="n">
        <v>4386268.467500001</v>
      </c>
      <c r="F27" s="66" t="n">
        <v>6782369.460000002</v>
      </c>
      <c r="G27" s="19">
        <f>F27/E27-1</f>
        <v/>
      </c>
      <c r="H27" s="65" t="n">
        <v>643</v>
      </c>
      <c r="I27" s="65" t="n">
        <v>783</v>
      </c>
      <c r="J27" s="42" t="n">
        <v>0.1429703378344554</v>
      </c>
      <c r="K27" s="42" t="n">
        <v>0.1271160646389757</v>
      </c>
      <c r="L27" s="66" t="n">
        <v>110</v>
      </c>
      <c r="M27" s="66" t="n">
        <v>127</v>
      </c>
      <c r="N27" s="65" t="n">
        <v>26.55905511811024</v>
      </c>
    </row>
    <row r="29">
      <c r="A29" s="47" t="inlineStr">
        <is>
          <t>SUBE BAZINDA MALIYET VE FAZLA MESAI (bes magaza)</t>
        </is>
      </c>
    </row>
    <row r="30">
      <c r="A30" s="54" t="inlineStr">
        <is>
          <t>Sube</t>
        </is>
      </c>
      <c r="B30" s="54" t="inlineStr">
        <is>
          <t>FTE 2025</t>
        </is>
      </c>
      <c r="C30" s="54" t="inlineStr">
        <is>
          <t>FTE 2026</t>
        </is>
      </c>
      <c r="D30" s="54" t="inlineStr">
        <is>
          <t>Maliyet 2025</t>
        </is>
      </c>
      <c r="E30" s="54" t="inlineStr">
        <is>
          <t>Maliyet 2026</t>
        </is>
      </c>
      <c r="F30" s="54" t="inlineStr">
        <is>
          <t>Maliyet Δ</t>
        </is>
      </c>
      <c r="G30" s="54" t="inlineStr">
        <is>
          <t>FM saat 2025</t>
        </is>
      </c>
      <c r="H30" s="54" t="inlineStr">
        <is>
          <t>FM saat 2026</t>
        </is>
      </c>
      <c r="I30" s="54" t="inlineStr">
        <is>
          <t>FM tutar 2026</t>
        </is>
      </c>
    </row>
    <row r="31">
      <c r="A31" s="16" t="inlineStr">
        <is>
          <t>Fsm</t>
        </is>
      </c>
      <c r="B31" s="34" t="n">
        <v>238.3333333333333</v>
      </c>
      <c r="C31" s="34" t="n">
        <v>247.8</v>
      </c>
      <c r="D31" s="17" t="n">
        <v>10505479.13700001</v>
      </c>
      <c r="E31" s="17" t="n">
        <v>15336984.19000001</v>
      </c>
      <c r="F31" s="19">
        <f>E31/D31-1</f>
        <v/>
      </c>
      <c r="G31" s="34" t="n">
        <v>2010</v>
      </c>
      <c r="H31" s="34" t="n">
        <v>2084</v>
      </c>
      <c r="I31" s="17" t="n">
        <v>323297.7100000001</v>
      </c>
    </row>
    <row r="32">
      <c r="A32" s="16" t="inlineStr">
        <is>
          <t>Heykel</t>
        </is>
      </c>
      <c r="B32" s="34" t="n">
        <v>198.8666666666667</v>
      </c>
      <c r="C32" s="34" t="n">
        <v>196.3</v>
      </c>
      <c r="D32" s="17" t="n">
        <v>8934645.077999998</v>
      </c>
      <c r="E32" s="17" t="n">
        <v>12368114.50640001</v>
      </c>
      <c r="F32" s="19">
        <f>E32/D32-1</f>
        <v/>
      </c>
      <c r="G32" s="34" t="n">
        <v>1608</v>
      </c>
      <c r="H32" s="34" t="n">
        <v>1606.5</v>
      </c>
      <c r="I32" s="17" t="n">
        <v>252249.6700000001</v>
      </c>
    </row>
    <row r="33">
      <c r="A33" s="16" t="inlineStr">
        <is>
          <t>Özlüce</t>
        </is>
      </c>
      <c r="B33" s="34" t="n">
        <v>264.6333333333333</v>
      </c>
      <c r="C33" s="34" t="n">
        <v>290.9</v>
      </c>
      <c r="D33" s="17" t="n">
        <v>12022817.438</v>
      </c>
      <c r="E33" s="17" t="n">
        <v>17601765.7182</v>
      </c>
      <c r="F33" s="19">
        <f>E33/D33-1</f>
        <v/>
      </c>
      <c r="G33" s="34" t="n">
        <v>2518</v>
      </c>
      <c r="H33" s="34" t="n">
        <v>3144</v>
      </c>
      <c r="I33" s="17" t="n">
        <v>499150.3099999993</v>
      </c>
    </row>
    <row r="34">
      <c r="A34" s="16" t="inlineStr">
        <is>
          <t>İst. Yolu</t>
        </is>
      </c>
      <c r="B34" s="34" t="n">
        <v>194.1</v>
      </c>
      <c r="C34" s="34" t="n">
        <v>237.4666666666667</v>
      </c>
      <c r="D34" s="17" t="n">
        <v>8628131.804699995</v>
      </c>
      <c r="E34" s="17" t="n">
        <v>14278611.10500001</v>
      </c>
      <c r="F34" s="19">
        <f>E34/D34-1</f>
        <v/>
      </c>
      <c r="G34" s="34" t="n">
        <v>1800.5</v>
      </c>
      <c r="H34" s="34" t="n">
        <v>2400.51</v>
      </c>
      <c r="I34" s="17" t="n">
        <v>361480.5099999998</v>
      </c>
    </row>
    <row r="35">
      <c r="A35" s="16" t="inlineStr">
        <is>
          <t>Şura</t>
        </is>
      </c>
      <c r="B35" s="34" t="n">
        <v>60.06666666666667</v>
      </c>
      <c r="C35" s="34" t="n">
        <v>76.86666666666666</v>
      </c>
      <c r="D35" s="17" t="n">
        <v>3016259.480500001</v>
      </c>
      <c r="E35" s="17" t="n">
        <v>5701231.434999999</v>
      </c>
      <c r="F35" s="19">
        <f>E35/D35-1</f>
        <v/>
      </c>
      <c r="G35" s="34" t="n">
        <v>277</v>
      </c>
      <c r="H35" s="34" t="n">
        <v>212.5</v>
      </c>
      <c r="I35" s="17" t="n">
        <v>37862.25999999999</v>
      </c>
    </row>
    <row r="37">
      <c r="A37" s="47" t="inlineStr">
        <is>
          <t>FAZLA MESAI VE YASAL SINIR (4857 s.K. m.41 — yillik 270 saat)</t>
        </is>
      </c>
    </row>
    <row r="38">
      <c r="A38" s="16" t="inlineStr">
        <is>
          <t>Fiili FM saat 2025 (uc POS)</t>
        </is>
      </c>
      <c r="B38" s="34" t="n">
        <v>643</v>
      </c>
    </row>
    <row r="39">
      <c r="A39" s="16" t="inlineStr">
        <is>
          <t>Fiili FM saat 2026 (uc POS)</t>
        </is>
      </c>
      <c r="B39" s="34" t="n">
        <v>783</v>
      </c>
    </row>
    <row r="40">
      <c r="A40" s="16" t="inlineStr">
        <is>
          <t>Kisi basi YILLIK FM 2025 (saat)</t>
        </is>
      </c>
      <c r="B40" s="34" t="n">
        <v>79.43719972546329</v>
      </c>
    </row>
    <row r="41">
      <c r="A41" s="16" t="inlineStr">
        <is>
          <t>Kisi basi YILLIK FM 2026 (saat)</t>
        </is>
      </c>
      <c r="B41" s="34" t="n">
        <v>83.56952268010673</v>
      </c>
    </row>
    <row r="42">
      <c r="A42" s="16" t="inlineStr">
        <is>
          <t>Yillik sinir hizinda kisi-ay 2025</t>
        </is>
      </c>
      <c r="B42" s="17" t="n">
        <v>1</v>
      </c>
    </row>
    <row r="43">
      <c r="A43" s="16" t="inlineStr">
        <is>
          <t>Yillik sinir hizinda kisi-ay 2026</t>
        </is>
      </c>
      <c r="B43" s="17" t="n">
        <v>2</v>
      </c>
    </row>
    <row r="44">
      <c r="A44" s="16" t="inlineStr">
        <is>
          <t>VARSAYIM: kadro 2025 seviyesinde kalsaydi eksik kisi-ay</t>
        </is>
      </c>
      <c r="B44" s="17" t="n">
        <v>17</v>
      </c>
    </row>
    <row r="45">
      <c r="A45" s="16" t="inlineStr">
        <is>
          <t>VARSAYIM: gereken EK fazla mesai (saat)</t>
        </is>
      </c>
      <c r="B45" s="34" t="n">
        <v>2983.500000000002</v>
      </c>
    </row>
    <row r="46">
      <c r="A46" s="20" t="inlineStr">
        <is>
          <t>VARSAYIM: kisi basi YILLIK FM (saat)</t>
        </is>
      </c>
      <c r="B46" s="67" t="n">
        <v>465.3191489361705</v>
      </c>
    </row>
    <row r="47">
      <c r="A47" s="20" t="inlineStr">
        <is>
          <t>YASAL UST SINIR (saat/yil/kisi)</t>
        </is>
      </c>
      <c r="B47" s="67" t="n">
        <v>270</v>
      </c>
    </row>
    <row r="49">
      <c r="A49" s="32" t="inlineStr">
        <is>
          <t>FORMUL: Personel maliyeti = Brüt Toplam (Bt) + İşveren SGK Hissesi (Isskk) + İşveren İşsizlik Payı (Iisk) — Zirve bordro vw_PuanBil, yönetimin kendi bordro kontrol raporundaki formül.</t>
        </is>
      </c>
    </row>
    <row r="50">
      <c r="A50" s="32" t="inlineStr">
        <is>
          <t>OLCU BIRIMI **FTE** (tam zaman esdeger) = SGK prim gunu / 30. Bordro SATIRI (kayit) yaniltir: ay icinde 1 gun calisan da 1 sayilir; sezonluk giris/cikis yogun oldugu icin sisme en cok sezon ayinda olur. Kayit sayisi ve ortalama prim gunu seffaflik icin ayri satirlarda/kolonlarda durur.</t>
        </is>
      </c>
    </row>
    <row r="51">
      <c r="A51" s="32" t="inlineStr">
        <is>
          <t>PENCERE: SEZON penceresi esastır (Tem); KÜMÜLATİF pencere (01-07 ay (Oca–Tem), her iki yıl) yıl geneli referansıdır. Aylık kırılım kadro ve maliyet artışının hangi ayda oluştuğunu gösterir.</t>
        </is>
      </c>
    </row>
    <row r="52">
      <c r="A52" s="32" t="inlineStr">
        <is>
          <t>SEZON ESAS: kadro sezonda (01.07-31.08) artiyor -&gt; maliyet/FM kiyasi SEZON penceresinde yapilir. Kumulatif (yilbasindan itibaren) pencere sezonu sulandirir, referans olarak durur.</t>
        </is>
      </c>
    </row>
    <row r="53">
      <c r="A53" s="32" t="inlineStr">
        <is>
          <t>⚠ ⚠ SEZON PENCERESİ EKSİK: Ağu ayı bordrosu henüz koşmadı (2026 yılı). Sezon karşılaştırması Tem ayı/ayları ile sınırlıdır; Ağustos bordrosu işlendiğinde bu blok kendiliğinden tamamlanır. Yıl geneli için «kümülatif» pencereye bakılır.</t>
        </is>
      </c>
    </row>
    <row r="54">
      <c r="A54" s="32" t="inlineStr">
        <is>
          <t>ORAN: maliyet/ciro yuzde PUAN olarak kiyaslanir. Ciro KDV HARIC (maliyet de KDV'siz), Sinav DAHIL (o satisi da ayni magaza personeli yapiyor).</t>
        </is>
      </c>
    </row>
    <row r="55">
      <c r="A55" s="32" t="inlineStr">
        <is>
          <t>K-22 VARSAYIM: SEZON penceresinde (Tem) ölçülür; birim FTE (tam zaman eşdeğer = SGK prim günü ÷ 30) — bordro satırı sayılsaydı yarım ay çalışan tam sayılır ve kapasite farkı şişerdi. İşgücü ihtiyacı FTE ile doğru orantılı kabul edilir; 15.3 FTE'lik kapasite eksiği ancak fazla mesaiyle kapanırdı (FTE başına 195 saat normal çalışma). Yasal çerçeve: 4857 s.K. m.41 yıllık 270 saat üst sınır. Yıllıklandırma: sezon ayı başına düşen fazla mesai × 12 (sezon yoğunluğunun yıla yayılması hâlinde ulaşacağı seviye).</t>
        </is>
      </c>
    </row>
    <row r="56">
      <c r="A56" s="32" t="inlineStr">
        <is>
          <t>⚠ Sube dagilimi personelin BUGUNKU subesine gore yapilir (bordro ayindaki subesi degil) — toplamlar dogru, sube kirilimi yer degistirenlerde kayabilir.</t>
        </is>
      </c>
    </row>
    <row r="57">
      <c r="A57" s="32" t="inlineStr">
        <is>
          <t>KVKK: kisi bazli ucret/maliyet YOK; tum rakamlar sube/kapsam duzeyinde toplulastirilmis.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68" t="inlineStr">
        <is>
          <t>Baslik</t>
        </is>
      </c>
      <c r="B3" s="69" t="inlineStr">
        <is>
          <t>Kişi başı iş hacmi — sezon 2026 vs 2025</t>
        </is>
      </c>
    </row>
    <row r="4" ht="30" customHeight="1">
      <c r="A4" s="68" t="inlineStr">
        <is>
          <t>Kesim tarihi</t>
        </is>
      </c>
      <c r="B4" s="69" t="inlineStr">
        <is>
          <t>otomatik (veri sonu, okul-hizalı pencerede)</t>
        </is>
      </c>
    </row>
    <row r="5" ht="30" customHeight="1">
      <c r="A5" s="68" t="inlineStr">
        <is>
          <t>Pencere</t>
        </is>
      </c>
      <c r="B5" s="69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68" t="inlineStr">
        <is>
          <t>Kadro kaynagi</t>
        </is>
      </c>
      <c r="B6" s="69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68" t="inlineStr">
        <is>
          <t>Is hacmi kaynagi</t>
        </is>
      </c>
      <c r="B7" s="69" t="inlineStr">
        <is>
          <t>DerinSIS irs/irsAyr eTip=100 (POS satışı), Sınav Okulları/Kıyafet hariç, iade netlenmiş</t>
        </is>
      </c>
    </row>
    <row r="8" ht="30" customHeight="1">
      <c r="A8" s="68" t="inlineStr">
        <is>
          <t>Cekirdek SQL</t>
        </is>
      </c>
      <c r="B8" s="69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70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70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70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70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70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70" t="inlineStr">
        <is>
          <t>• Fiş sayısı bu kaynakta yok: eTip 100 günlük özet belgedir (bir gün = bir belge).</t>
        </is>
      </c>
    </row>
    <row r="17" ht="28" customHeight="1">
      <c r="B17" s="70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2026-09-02T22:41:35Z</dcterms:created>
  <dcterms:modified xmlns:dcterms="http://purl.org/dc/terms/" xmlns:xsi="http://www.w3.org/2001/XMLSchema-instance" xsi:type="dcterms:W3CDTF">2026-09-02T22:41:35Z</dcterms:modified>
</cp:coreProperties>
</file>