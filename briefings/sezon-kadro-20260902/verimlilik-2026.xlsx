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Yontem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 kişi;-0 kişi"/>
    <numFmt numFmtId="171" formatCode="+0,0%"/>
    <numFmt numFmtId="172" formatCode="0,0&quot;x&quot;"/>
  </numFmts>
  <fonts count="1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17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top" wrapText="1"/>
    </xf>
    <xf numFmtId="171" fontId="12" fillId="0" borderId="0" applyAlignment="1" pivotButton="0" quotePrefix="0" xfId="0">
      <alignment horizontal="right" vertical="center"/>
    </xf>
    <xf numFmtId="172" fontId="12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3" fontId="3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66929723.56999967</v>
      </c>
      <c r="C9" s="17" t="n">
        <v>114687785.5800021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71837429.11999415</v>
      </c>
      <c r="C10" s="17" t="n">
        <v>122601380.8499947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20455158.42999995</v>
      </c>
      <c r="N4" s="17" t="n">
        <v>40444611.77000087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28347121.58999935</v>
      </c>
      <c r="N5" s="17" t="n">
        <v>44784483.15000021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18127443.55000037</v>
      </c>
      <c r="N6" s="17" t="n">
        <v>29458690.66000102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18.50432497000138</v>
      </c>
      <c r="G4" s="34" t="n">
        <v>32.38086690000177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0.3747245332285545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10.02370844</v>
      </c>
      <c r="G5" s="34" t="n">
        <v>15.50422908999999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0.5770282964720117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14.49106598999975</v>
      </c>
      <c r="G6" s="34" t="n">
        <v>23.14058788999981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0.4921459875658309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1.797673394233621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11.13631268000001</v>
      </c>
      <c r="G8" s="34" t="n">
        <v>16.74884972000007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0.66559964450229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1.475290260000007</v>
      </c>
      <c r="G9" s="34" t="n">
        <v>2.616103030000003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1.258006023303463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11.66512253999998</v>
      </c>
      <c r="G10" s="34" t="n">
        <v>22.35794457999997</v>
      </c>
      <c r="H10" s="44">
        <f>G10/F10-1</f>
        <v/>
      </c>
      <c r="I10" s="17" t="n">
        <v>218946</v>
      </c>
      <c r="J10" s="17" t="n">
        <v>266564</v>
      </c>
      <c r="K10" s="19">
        <f>IF(OR(I10="—",J10="—"),"",J10/I10-1)</f>
        <v/>
      </c>
      <c r="L10" s="19" t="n">
        <v>0.4621370345582292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1.187673780000001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0.4636366398909268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1.942142249999998</v>
      </c>
      <c r="G12" s="34" t="n">
        <v>6.643827519999995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1.769093453522592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0.4203621899999998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0.5224217348514237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0.9961937400000002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0.4008427609025702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0.2656298399999998</v>
      </c>
      <c r="G15" s="34" t="n">
        <v>0.3784858199999995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0.4999858989104873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33.37095816000334</v>
      </c>
      <c r="F4" s="34" t="n">
        <v>49.92745520000055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367353</v>
      </c>
      <c r="D5" s="44">
        <f>C5/B5-1</f>
        <v/>
      </c>
      <c r="E5" s="34" t="n">
        <v>32.14602051000339</v>
      </c>
      <c r="F5" s="34" t="n">
        <v>55.81932909000083</v>
      </c>
      <c r="G5" s="44">
        <f>F5/E5-1</f>
        <v/>
      </c>
    </row>
    <row r="6">
      <c r="A6" s="16" t="inlineStr">
        <is>
          <t>Ağustos</t>
        </is>
      </c>
      <c r="B6" s="17" t="n">
        <v>458508.7</v>
      </c>
      <c r="C6" s="17" t="n">
        <v>483658.55</v>
      </c>
      <c r="D6" s="44">
        <f>C6/B6-1</f>
        <v/>
      </c>
      <c r="E6" s="34" t="n">
        <v>61.34527556000126</v>
      </c>
      <c r="F6" s="34" t="n">
        <v>78.15309667999897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26.08.2025  vs  07.08 – 01.09.2026  (26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+%34.6 · ciro +%67.7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458.509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483.659 adet · 78.2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617.297 adet · 102.9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133.638 adet · 24.7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(27.08 - 07.09.2025)</t>
        </is>
      </c>
      <c r="B16" s="16" t="inlineStr">
        <is>
          <t>431.358 adet · 56.9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(02.09 - 13.09.2026)</t>
        </is>
      </c>
      <c r="B17" s="51" t="inlineStr">
        <is>
          <t>580.744 adet · 95.5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%34.6 · ciro %67.7) 2025 Ağustos toplamına uygulanarak kayma-arındırılmış Ağustos bulunur. VARSAYIM: talep kaybı yok, yalnız zamanlama kaydı. Bugünün verisi HARİÇ (eTip 100 gün içinde yeniden yazılır); son tam gün 01.09.2026.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316059798.220339</v>
      </c>
      <c r="F4" s="17" t="n">
        <v>489433287.7802692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136108071.4499994</v>
      </c>
      <c r="F5" s="17" t="n">
        <v>105575646.1100002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5" customWidth="1" min="4" max="4"/>
    <col width="13" customWidth="1" min="5" max="5"/>
    <col width="15" customWidth="1" min="6" max="6"/>
    <col width="13" customWidth="1" min="7" max="7"/>
    <col width="13" customWidth="1" min="8" max="8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</t>
        </is>
      </c>
      <c r="B3" s="13" t="inlineStr">
        <is>
          <t>Norm (sezon dışı)</t>
        </is>
      </c>
      <c r="C3" s="13" t="inlineStr">
        <is>
          <t>Kadrolu 30.06</t>
        </is>
      </c>
      <c r="D3" s="13" t="inlineStr">
        <is>
          <t>Norm farkı 30.06</t>
        </is>
      </c>
      <c r="E3" s="13" t="inlineStr">
        <is>
          <t>Kadrolu 31.08</t>
        </is>
      </c>
      <c r="F3" s="13" t="inlineStr">
        <is>
          <t>Norm farkı 31.08</t>
        </is>
      </c>
      <c r="G3" s="13" t="inlineStr">
        <is>
          <t>Sezonluk 31.08</t>
        </is>
      </c>
      <c r="H3" s="13" t="inlineStr">
        <is>
          <t>Toplam 31.08</t>
        </is>
      </c>
    </row>
    <row r="4">
      <c r="A4" s="16" t="inlineStr">
        <is>
          <t>Özlüce</t>
        </is>
      </c>
      <c r="B4" s="17" t="n">
        <v>45</v>
      </c>
      <c r="C4" s="17" t="n">
        <v>44</v>
      </c>
      <c r="D4" s="53">
        <f>C4-B4</f>
        <v/>
      </c>
      <c r="E4" s="17" t="n">
        <v>41</v>
      </c>
      <c r="F4" s="53">
        <f>E4-B4</f>
        <v/>
      </c>
      <c r="G4" s="17" t="n">
        <v>13</v>
      </c>
      <c r="H4" s="17">
        <f>E4+G4</f>
        <v/>
      </c>
    </row>
    <row r="5">
      <c r="A5" s="16" t="inlineStr">
        <is>
          <t>Fsm</t>
        </is>
      </c>
      <c r="B5" s="17" t="n">
        <v>37</v>
      </c>
      <c r="C5" s="17" t="n">
        <v>35</v>
      </c>
      <c r="D5" s="53">
        <f>C5-B5</f>
        <v/>
      </c>
      <c r="E5" s="17" t="n">
        <v>34</v>
      </c>
      <c r="F5" s="53">
        <f>E5-B5</f>
        <v/>
      </c>
      <c r="G5" s="17" t="n">
        <v>11</v>
      </c>
      <c r="H5" s="17">
        <f>E5+G5</f>
        <v/>
      </c>
    </row>
    <row r="6">
      <c r="A6" s="16" t="inlineStr">
        <is>
          <t>İst. Yolu</t>
        </is>
      </c>
      <c r="B6" s="17" t="n">
        <v>33</v>
      </c>
      <c r="C6" s="17" t="n">
        <v>35</v>
      </c>
      <c r="D6" s="53">
        <f>C6-B6</f>
        <v/>
      </c>
      <c r="E6" s="17" t="n">
        <v>36</v>
      </c>
      <c r="F6" s="53">
        <f>E6-B6</f>
        <v/>
      </c>
      <c r="G6" s="17" t="n">
        <v>25</v>
      </c>
      <c r="H6" s="17">
        <f>E6+G6</f>
        <v/>
      </c>
    </row>
    <row r="7">
      <c r="A7" s="16" t="inlineStr">
        <is>
          <t>Heykel</t>
        </is>
      </c>
      <c r="B7" s="17" t="n">
        <v>30</v>
      </c>
      <c r="C7" s="17" t="n">
        <v>29</v>
      </c>
      <c r="D7" s="53">
        <f>C7-B7</f>
        <v/>
      </c>
      <c r="E7" s="17" t="n">
        <v>26</v>
      </c>
      <c r="F7" s="53">
        <f>E7-B7</f>
        <v/>
      </c>
      <c r="G7" s="17" t="n">
        <v>9</v>
      </c>
      <c r="H7" s="17">
        <f>E7+G7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30">
        <f>E8-B8</f>
        <v/>
      </c>
      <c r="G8" s="21">
        <f>SUM(G4:G7)</f>
        <v/>
      </c>
      <c r="H8" s="54">
        <f>E8+G8</f>
        <v/>
      </c>
    </row>
    <row r="10">
      <c r="A10" s="32" t="inlineStr">
        <is>
          <t>NORM SEZON DISI kadroyu tanimlar -&gt; sezonluk personel norma DAHIL DEGIL; kiyas yalniz KADROLU ile.</t>
        </is>
      </c>
    </row>
    <row r="11">
      <c r="A11" s="32" t="inlineStr">
        <is>
          <t>Norm kaynagi: norm-kadro-20260811.json (11.08.2026). Yonetim parametresi, Zirve'den sorgulanmaz.</t>
        </is>
      </c>
    </row>
    <row r="12">
      <c r="A12" s="32" t="inlineStr">
        <is>
          <t>KAPSAM DISI: Şura norm tablosunda yok.</t>
        </is>
      </c>
    </row>
    <row r="13">
      <c r="A13" s="32" t="inlineStr">
        <is>
          <t>Eksi fark = normun ALTINDA calisiliyor. Toplamda 31.08'de norm 145, gercek kadrolu 137.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55" t="inlineStr">
        <is>
          <t>Baslik</t>
        </is>
      </c>
      <c r="B3" s="56" t="inlineStr">
        <is>
          <t>Kişi başı iş hacmi — sezon 2026 vs 2025</t>
        </is>
      </c>
    </row>
    <row r="4" ht="30" customHeight="1">
      <c r="A4" s="55" t="inlineStr">
        <is>
          <t>Kesim tarihi</t>
        </is>
      </c>
      <c r="B4" s="56" t="inlineStr">
        <is>
          <t>otomatik (veri sonu, okul-hizalı pencerede)</t>
        </is>
      </c>
    </row>
    <row r="5" ht="30" customHeight="1">
      <c r="A5" s="55" t="inlineStr">
        <is>
          <t>Pencere</t>
        </is>
      </c>
      <c r="B5" s="56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55" t="inlineStr">
        <is>
          <t>Kadro kaynagi</t>
        </is>
      </c>
      <c r="B6" s="56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55" t="inlineStr">
        <is>
          <t>Is hacmi kaynagi</t>
        </is>
      </c>
      <c r="B7" s="56" t="inlineStr">
        <is>
          <t>DerinSIS irs/irsAyr eTip=100 (POS satışı), Sınav Okulları/Kıyafet hariç, iade netlenmiş</t>
        </is>
      </c>
    </row>
    <row r="8" ht="30" customHeight="1">
      <c r="A8" s="55" t="inlineStr">
        <is>
          <t>Cekirdek SQL</t>
        </is>
      </c>
      <c r="B8" s="56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57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57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57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57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57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57" t="inlineStr">
        <is>
          <t>• Fiş sayısı bu kaynakta yok: eTip 100 günlük özet belgedir (bir gün = bir belge).</t>
        </is>
      </c>
    </row>
    <row r="17" ht="28" customHeight="1">
      <c r="B17" s="57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2026-09-02T18:23:19Z</dcterms:created>
  <dcterms:modified xmlns:dcterms="http://purl.org/dc/terms/" xmlns:xsi="http://www.w3.org/2001/XMLSchema-instance" xsi:type="dcterms:W3CDTF">2026-09-02T18:23:19Z</dcterms:modified>
</cp:coreProperties>
</file>