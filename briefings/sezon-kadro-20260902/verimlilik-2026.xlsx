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num" sheetId="1" state="visible" r:id="rId1"/>
    <sheet xmlns:r="http://schemas.openxmlformats.org/officeDocument/2006/relationships" name="Ozet" sheetId="2" state="visible" r:id="rId2"/>
    <sheet xmlns:r="http://schemas.openxmlformats.org/officeDocument/2006/relationships" name="Magaza" sheetId="3" state="visible" r:id="rId3"/>
    <sheet xmlns:r="http://schemas.openxmlformats.org/officeDocument/2006/relationships" name="Kadro" sheetId="4" state="visible" r:id="rId4"/>
    <sheet xmlns:r="http://schemas.openxmlformats.org/officeDocument/2006/relationships" name="Bolum" sheetId="5" state="visible" r:id="rId5"/>
    <sheet xmlns:r="http://schemas.openxmlformats.org/officeDocument/2006/relationships" name="Kategori" sheetId="6" state="visible" r:id="rId6"/>
    <sheet xmlns:r="http://schemas.openxmlformats.org/officeDocument/2006/relationships" name="Aylik" sheetId="7" state="visible" r:id="rId7"/>
    <sheet xmlns:r="http://schemas.openxmlformats.org/officeDocument/2006/relationships" name="Yillar" sheetId="8" state="visible" r:id="rId8"/>
    <sheet xmlns:r="http://schemas.openxmlformats.org/officeDocument/2006/relationships" name="Oca-Agu" sheetId="9" state="visible" r:id="rId9"/>
    <sheet xmlns:r="http://schemas.openxmlformats.org/officeDocument/2006/relationships" name="Norm" sheetId="10" state="visible" r:id="rId10"/>
    <sheet xmlns:r="http://schemas.openxmlformats.org/officeDocument/2006/relationships" name="Maliyet" sheetId="11" state="visible" r:id="rId11"/>
    <sheet xmlns:r="http://schemas.openxmlformats.org/officeDocument/2006/relationships" name="Yontem" sheetId="12" state="visible" r:id="rId12"/>
    <sheet xmlns:r="http://schemas.openxmlformats.org/officeDocument/2006/relationships" name="Personel" sheetId="13" state="visible" r:id="rId13"/>
  </sheets>
  <definedNames>
    <definedName name="_xlnm._FilterDatabase" localSheetId="12" hidden="1">'Personel'!$A$4:$J$340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+#,##0;-#,##0;0"/>
    <numFmt numFmtId="165" formatCode="+0.0%;-0.0%"/>
    <numFmt numFmtId="166" formatCode="#,##0.0"/>
    <numFmt numFmtId="167" formatCode="0.0&quot;x&quot;"/>
    <numFmt numFmtId="168" formatCode="+0;-0;0"/>
    <numFmt numFmtId="169" formatCode="0.0%"/>
    <numFmt numFmtId="170" formatCode="+0.00%;-0.00%"/>
    <numFmt numFmtId="171" formatCode="0.0"/>
    <numFmt numFmtId="172" formatCode="+0 kişi;-0 kişi"/>
    <numFmt numFmtId="173" formatCode="+0,0%"/>
    <numFmt numFmtId="174" formatCode="0,0&quot;x&quot;"/>
  </numFmts>
  <fonts count="18">
    <font>
      <name val="Calibri"/>
      <family val="2"/>
      <color theme="1"/>
      <sz val="11"/>
      <scheme val="minor"/>
    </font>
    <font>
      <b val="1"/>
      <sz val="12"/>
    </font>
    <font>
      <b val="1"/>
      <color rgb="00FFFFFF"/>
      <sz val="10"/>
    </font>
    <font>
      <b val="1"/>
    </font>
    <font>
      <b val="1"/>
      <color rgb="001F7A4D"/>
    </font>
    <font>
      <i val="1"/>
      <color rgb="00666666"/>
      <sz val="9"/>
    </font>
    <font>
      <b val="1"/>
      <sz val="10"/>
    </font>
    <font>
      <b val="1"/>
      <color rgb="00A6001A"/>
    </font>
    <font>
      <i val="1"/>
      <sz val="10"/>
    </font>
    <font>
      <i val="1"/>
      <sz val="9"/>
    </font>
    <font>
      <sz val="9"/>
    </font>
    <font>
      <color rgb="00A6001A"/>
      <sz val="10"/>
    </font>
    <font>
      <b val="1"/>
      <color rgb="001F5B57"/>
      <sz val="16"/>
    </font>
    <font>
      <b val="1"/>
      <color rgb="00FFFFFF"/>
      <sz val="11"/>
    </font>
    <font>
      <b val="1"/>
      <sz val="11.5"/>
    </font>
    <font>
      <b val="1"/>
      <color rgb="001F7A4D"/>
      <sz val="14"/>
    </font>
    <font>
      <color rgb="00444444"/>
      <sz val="10"/>
    </font>
    <font>
      <b val="1"/>
      <color rgb="001F5B57"/>
      <sz val="11"/>
    </font>
  </fonts>
  <fills count="7">
    <fill>
      <patternFill/>
    </fill>
    <fill>
      <patternFill patternType="gray125"/>
    </fill>
    <fill>
      <patternFill patternType="solid">
        <fgColor rgb="00E30622"/>
      </patternFill>
    </fill>
    <fill>
      <patternFill patternType="solid">
        <fgColor rgb="001F5B57"/>
      </patternFill>
    </fill>
    <fill>
      <patternFill patternType="solid">
        <fgColor rgb="00F2F2F2"/>
      </patternFill>
    </fill>
    <fill>
      <patternFill patternType="solid">
        <fgColor rgb="00FFF3CD"/>
      </patternFill>
    </fill>
    <fill>
      <patternFill patternType="solid">
        <fgColor rgb="00FFF6E6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2" fillId="0" borderId="0" pivotButton="0" quotePrefix="0" xfId="0"/>
    <xf numFmtId="0" fontId="5" fillId="0" borderId="0" pivotButton="0" quotePrefix="0" xfId="0"/>
    <xf numFmtId="0" fontId="13" fillId="3" borderId="0" applyAlignment="1" pivotButton="0" quotePrefix="0" xfId="0">
      <alignment horizontal="center" vertical="center"/>
    </xf>
    <xf numFmtId="0" fontId="14" fillId="0" borderId="0" applyAlignment="1" pivotButton="0" quotePrefix="0" xfId="0">
      <alignment vertical="center"/>
    </xf>
    <xf numFmtId="172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vertical="top" wrapText="1"/>
    </xf>
    <xf numFmtId="173" fontId="15" fillId="0" borderId="0" applyAlignment="1" pivotButton="0" quotePrefix="0" xfId="0">
      <alignment horizontal="right" vertical="center"/>
    </xf>
    <xf numFmtId="174" fontId="15" fillId="0" borderId="0" applyAlignment="1" pivotButton="0" quotePrefix="0" xfId="0">
      <alignment horizontal="right" vertical="center"/>
    </xf>
    <xf numFmtId="0" fontId="0" fillId="5" borderId="0" pivotButton="0" quotePrefix="0" xfId="0"/>
    <xf numFmtId="0" fontId="17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0" pivotButton="0" quotePrefix="0" xfId="0"/>
    <xf numFmtId="0" fontId="0" fillId="3" borderId="0" pivotButton="0" quotePrefix="0" xfId="0"/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3" fillId="0" borderId="1" pivotButton="0" quotePrefix="0" xfId="0"/>
    <xf numFmtId="3" fontId="3" fillId="4" borderId="1" pivotButton="0" quotePrefix="0" xfId="0"/>
    <xf numFmtId="164" fontId="0" fillId="4" borderId="1" pivotButton="0" quotePrefix="0" xfId="0"/>
    <xf numFmtId="165" fontId="0" fillId="4" borderId="1" pivotButton="0" quotePrefix="0" xfId="0"/>
    <xf numFmtId="3" fontId="0" fillId="4" borderId="1" pivotButton="0" quotePrefix="0" xfId="0"/>
    <xf numFmtId="165" fontId="4" fillId="4" borderId="1" pivotButton="0" quotePrefix="0" xfId="0"/>
    <xf numFmtId="166" fontId="0" fillId="4" borderId="1" pivotButton="0" quotePrefix="0" xfId="0"/>
    <xf numFmtId="167" fontId="1" fillId="5" borderId="1" pivotButton="0" quotePrefix="0" xfId="0"/>
    <xf numFmtId="167" fontId="0" fillId="0" borderId="1" pivotButton="0" quotePrefix="0" xfId="0"/>
    <xf numFmtId="164" fontId="3" fillId="5" borderId="1" pivotButton="0" quotePrefix="0" xfId="0"/>
    <xf numFmtId="168" fontId="3" fillId="5" borderId="1" pivotButton="0" quotePrefix="0" xfId="0"/>
    <xf numFmtId="1" fontId="3" fillId="5" borderId="1" pivotButton="0" quotePrefix="0" xfId="0"/>
    <xf numFmtId="0" fontId="5" fillId="0" borderId="0" applyAlignment="1" pivotButton="0" quotePrefix="0" xfId="0">
      <alignment/>
    </xf>
    <xf numFmtId="165" fontId="4" fillId="0" borderId="1" pivotButton="0" quotePrefix="0" xfId="0"/>
    <xf numFmtId="166" fontId="0" fillId="0" borderId="1" pivotButton="0" quotePrefix="0" xfId="0"/>
    <xf numFmtId="167" fontId="4" fillId="0" borderId="1" pivotButton="0" quotePrefix="0" xfId="0"/>
    <xf numFmtId="0" fontId="3" fillId="4" borderId="1" pivotButton="0" quotePrefix="0" xfId="0"/>
    <xf numFmtId="165" fontId="3" fillId="4" borderId="1" pivotButton="0" quotePrefix="0" xfId="0"/>
    <xf numFmtId="166" fontId="3" fillId="4" borderId="1" pivotButton="0" quotePrefix="0" xfId="0"/>
    <xf numFmtId="167" fontId="4" fillId="4" borderId="1" pivotButton="0" quotePrefix="0" xfId="0"/>
    <xf numFmtId="168" fontId="0" fillId="0" borderId="1" pivotButton="0" quotePrefix="0" xfId="0"/>
    <xf numFmtId="168" fontId="3" fillId="4" borderId="1" pivotButton="0" quotePrefix="0" xfId="0"/>
    <xf numFmtId="169" fontId="0" fillId="0" borderId="1" pivotButton="0" quotePrefix="0" xfId="0"/>
    <xf numFmtId="169" fontId="3" fillId="4" borderId="1" pivotButton="0" quotePrefix="0" xfId="0"/>
    <xf numFmtId="165" fontId="3" fillId="0" borderId="1" pivotButton="0" quotePrefix="0" xfId="0"/>
    <xf numFmtId="168" fontId="0" fillId="5" borderId="1" pivotButton="0" quotePrefix="0" xfId="0"/>
    <xf numFmtId="0" fontId="0" fillId="4" borderId="1" pivotButton="0" quotePrefix="0" xfId="0"/>
    <xf numFmtId="0" fontId="6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3" fillId="5" borderId="1" pivotButton="0" quotePrefix="0" xfId="0"/>
    <xf numFmtId="0" fontId="7" fillId="5" borderId="1" pivotButton="0" quotePrefix="0" xfId="0"/>
    <xf numFmtId="3" fontId="3" fillId="0" borderId="1" pivotButton="0" quotePrefix="0" xfId="0"/>
    <xf numFmtId="168" fontId="3" fillId="0" borderId="1" pivotButton="0" quotePrefix="0" xfId="0"/>
    <xf numFmtId="0" fontId="2" fillId="2" borderId="1" applyAlignment="1" pivotButton="0" quotePrefix="0" xfId="0">
      <alignment horizontal="center"/>
    </xf>
    <xf numFmtId="3" fontId="7" fillId="5" borderId="1" pivotButton="0" quotePrefix="0" xfId="0"/>
    <xf numFmtId="3" fontId="0" fillId="6" borderId="1" pivotButton="0" quotePrefix="0" xfId="0"/>
    <xf numFmtId="0" fontId="8" fillId="6" borderId="1" pivotButton="0" quotePrefix="0" xfId="0"/>
    <xf numFmtId="0" fontId="8" fillId="0" borderId="1" pivotButton="0" quotePrefix="0" xfId="0"/>
    <xf numFmtId="165" fontId="3" fillId="5" borderId="1" pivotButton="0" quotePrefix="0" xfId="0"/>
    <xf numFmtId="10" fontId="3" fillId="0" borderId="1" pivotButton="0" quotePrefix="0" xfId="0"/>
    <xf numFmtId="170" fontId="3" fillId="5" borderId="1" pivotButton="0" quotePrefix="0" xfId="0"/>
    <xf numFmtId="0" fontId="9" fillId="0" borderId="0" pivotButton="0" quotePrefix="0" xfId="0"/>
    <xf numFmtId="166" fontId="3" fillId="5" borderId="1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0" fillId="0" borderId="1" applyAlignment="1" pivotButton="0" quotePrefix="0" xfId="0">
      <alignment horizontal="center"/>
    </xf>
    <xf numFmtId="171" fontId="0" fillId="0" borderId="1" pivotButton="0" quotePrefix="0" xfId="0"/>
    <xf numFmtId="0" fontId="11" fillId="0" borderId="1" pivotButton="0" quotePrefix="0" xfId="0"/>
    <xf numFmtId="0" fontId="11" fillId="0" borderId="1" applyAlignment="1" pivotButton="0" quotePrefix="0" xfId="0">
      <alignment horizontal="center"/>
    </xf>
    <xf numFmtId="171" fontId="11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Kisi basi urun adedi — 2025 vs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'Magaza'!H3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'Magaza'!$A$4:$A$6</f>
            </numRef>
          </cat>
          <val>
            <numRef>
              <f>'Magaza'!$H$4:$H$6</f>
            </numRef>
          </val>
        </ser>
        <ser>
          <idx val="1"/>
          <order val="1"/>
          <tx>
            <strRef>
              <f>'Magaza'!I3</f>
            </strRef>
          </tx>
          <spPr>
            <a:ln xmlns:a="http://schemas.openxmlformats.org/drawingml/2006/main">
              <a:prstDash val="solid"/>
            </a:ln>
          </spPr>
          <cat>
            <numRef>
              <f>'Magaza'!$A$4:$A$6</f>
            </numRef>
          </cat>
          <val>
            <numRef>
              <f>'Magaza'!$I$4:$I$6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adet / kisi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Kisi basi urun adedi — 4 yillik trend</a:t>
            </a:r>
          </a:p>
        </rich>
      </tx>
    </title>
    <plotArea>
      <lineChart>
        <grouping val="standard"/>
        <ser>
          <idx val="0"/>
          <order val="0"/>
          <tx>
            <strRef>
              <f>'Yillar'!D3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'Yillar'!$A$4:$A$7</f>
            </numRef>
          </cat>
          <val>
            <numRef>
              <f>'Yillar'!$D$4:$D$7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adet / kisi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C2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82" customWidth="1" min="2" max="2"/>
    <col width="26" customWidth="1" min="3" max="3"/>
  </cols>
  <sheetData>
    <row r="2">
      <c r="B2" s="1" t="inlineStr">
        <is>
          <t>Sezon 2026 — kadro mu büyüdü, iş mi büyüdü?</t>
        </is>
      </c>
    </row>
    <row r="3">
      <c r="B3" s="2" t="inlineStr">
        <is>
          <t>Beş mağaza kadrosu · üç POS mağazası iş hacmi · 2025 ile aynı takvim dönemi</t>
        </is>
      </c>
    </row>
    <row r="5">
      <c r="A5" s="3" t="inlineStr">
        <is>
          <t>1</t>
        </is>
      </c>
      <c r="B5" s="4" t="inlineStr">
        <is>
          <t>Kadro farkı sezon başlamadan ÖNCE oluştu.</t>
        </is>
      </c>
      <c r="C5" s="5">
        <f>'Ozet'!D20</f>
        <v/>
      </c>
    </row>
    <row r="6" ht="26" customHeight="1">
      <c r="B6" s="6" t="inlineStr">
        <is>
          <t>30 Haziran'da kadrolu personel 139'dan 153'e çıkmıştı.</t>
        </is>
      </c>
    </row>
    <row r="7">
      <c r="A7" s="3" t="inlineStr">
        <is>
          <t>2</t>
        </is>
      </c>
      <c r="B7" s="4" t="inlineStr">
        <is>
          <t>Sezon boyunca kadro büyümedi, KÜÇÜLDÜ.</t>
        </is>
      </c>
      <c r="C7" s="5">
        <f>'Ozet'!C22</f>
        <v/>
      </c>
    </row>
    <row r="8" ht="26" customHeight="1">
      <c r="B8" s="6" t="inlineStr">
        <is>
          <t>1 Temmuz – 31 Ağustos: kadrolu 153 → 149. Geçen yıl da aynı yönde (−4).</t>
        </is>
      </c>
    </row>
    <row r="9">
      <c r="A9" s="3" t="inlineStr">
        <is>
          <t>3</t>
        </is>
      </c>
      <c r="B9" s="4" t="inlineStr">
        <is>
          <t>Sezonluk personel geçen yıldan AZ.</t>
        </is>
      </c>
      <c r="C9" s="5">
        <f>'Ozet'!D23</f>
        <v/>
      </c>
    </row>
    <row r="10" ht="26" customHeight="1">
      <c r="B10" s="6" t="inlineStr">
        <is>
          <t>31 Ağustos'ta çalışan sezonluk: 65 → 62 kişi.</t>
        </is>
      </c>
    </row>
    <row r="11">
      <c r="A11" s="3" t="inlineStr">
        <is>
          <t>4</t>
        </is>
      </c>
      <c r="B11" s="4" t="inlineStr">
        <is>
          <t>Aynı dönemde elleçlenen ürün adedi arttı.</t>
        </is>
      </c>
      <c r="C11" s="7">
        <f>'Ozet'!E8</f>
        <v/>
      </c>
    </row>
    <row r="12" ht="26" customHeight="1">
      <c r="B12" s="6" t="inlineStr">
        <is>
          <t>Adet enflasyondan etkilenmez — fiilen kasadan geçen, rafa dizilen mal.</t>
        </is>
      </c>
    </row>
    <row r="13">
      <c r="A13" s="3" t="inlineStr">
        <is>
          <t>5</t>
        </is>
      </c>
      <c r="B13" s="4" t="inlineStr">
        <is>
          <t>Ciro arttı.</t>
        </is>
      </c>
      <c r="C13" s="7">
        <f>'Ozet'!E9</f>
        <v/>
      </c>
    </row>
    <row r="14" ht="26" customHeight="1">
      <c r="B14" s="6" t="inlineStr">
        <is>
          <t>KDV dahil, iadeler düşülmüş.</t>
        </is>
      </c>
    </row>
    <row r="15">
      <c r="A15" s="3" t="inlineStr">
        <is>
          <t>6</t>
        </is>
      </c>
      <c r="B15" s="4" t="inlineStr">
        <is>
          <t>KİŞİ BAŞINA düşen iş de arttı.</t>
        </is>
      </c>
      <c r="C15" s="7">
        <f>'Ozet'!E13</f>
        <v/>
      </c>
    </row>
    <row r="16" ht="26" customHeight="1">
      <c r="B16" s="6" t="inlineStr">
        <is>
          <t>Kişi başı ürün adedi ve günlük adet birlikte yükseldi.</t>
        </is>
      </c>
    </row>
    <row r="17">
      <c r="A17" s="3" t="inlineStr">
        <is>
          <t>7</t>
        </is>
      </c>
      <c r="B17" s="4" t="inlineStr">
        <is>
          <t>İş hacmi, kadronun yaklaşık 3 KATI hızla büyüdü.</t>
        </is>
      </c>
      <c r="C17" s="8">
        <f>'Ozet'!B16</f>
        <v/>
      </c>
    </row>
    <row r="18" ht="26" customHeight="1">
      <c r="B18" s="6" t="inlineStr">
        <is>
          <t>Ürün adedi ÷ kadro büyümesi (ciro oranı değil).</t>
        </is>
      </c>
    </row>
    <row r="19">
      <c r="A19" s="3" t="inlineStr">
        <is>
          <t>8</t>
        </is>
      </c>
      <c r="B19" s="4" t="inlineStr">
        <is>
          <t>Artış yönetimde değil, RAFIN ÖNÜNDE.</t>
        </is>
      </c>
    </row>
    <row r="20" ht="26" customHeight="1">
      <c r="B20" s="6" t="inlineStr">
        <is>
          <t>Yönetim · Mal Kabul · İdari İşler kadrosu değişmedi; artış satış ve kasa reyonlarında.</t>
        </is>
      </c>
    </row>
    <row r="21">
      <c r="A21" s="3" t="inlineStr">
        <is>
          <t>9</t>
        </is>
      </c>
      <c r="B21" s="4" t="inlineStr">
        <is>
          <t>Büyüme kurumsaldan gelmedi, mağazadan geldi.</t>
        </is>
      </c>
      <c r="C21" s="7">
        <f>'Oca-Agu'!G4</f>
        <v/>
      </c>
    </row>
    <row r="22" ht="26" customHeight="1">
      <c r="B22" s="6" t="inlineStr">
        <is>
          <t>Sınav Okulları Ocak–Ağustos cirosu küçüldü; mağaza tarafı büyüdü.</t>
        </is>
      </c>
    </row>
    <row r="24" ht="34" customHeight="1">
      <c r="A24" s="9" t="n"/>
      <c r="B24" s="10" t="inlineStr">
        <is>
          <t>TEK CÜMLE: Kadro farkı 1 Temmuz'dan önce kurulmuştu; sezon içinde kadro küçülürken iş hacmi %35 büyüdü, kişi başına düşen iş %21 arttı.</t>
        </is>
      </c>
    </row>
    <row r="26" ht="28" customHeight="1">
      <c r="B26" s="11" t="inlineStr">
        <is>
          <t>Rakamların kaynağı ve kontrolü: Ozet · Magaza · Kadro · Bolum · Yillar · Oca-Agu · Yontem sayfaları. Kadro = Zirve İK (İK'nın kendi karşılaştırma raporuyla birebir), iş hacmi = DerinSIS mağaza satışı (Sınav hariç).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5" customWidth="1" min="4" max="4"/>
    <col width="11" customWidth="1" min="5" max="5"/>
  </cols>
  <sheetData>
    <row r="1">
      <c r="A1" s="12" t="inlineStr">
        <is>
          <t>Ayni kadro, daha cok is — kapsamlar AYRI etiketli, altta kopru kontrolu</t>
        </is>
      </c>
    </row>
    <row r="3" ht="30" customHeight="1">
      <c r="A3" s="13" t="inlineStr">
        <is>
          <t>Olcu</t>
        </is>
      </c>
      <c r="B3" s="13" t="inlineStr">
        <is>
          <t>2025</t>
        </is>
      </c>
      <c r="C3" s="13" t="inlineStr">
        <is>
          <t>2026</t>
        </is>
      </c>
      <c r="D3" s="13" t="inlineStr">
        <is>
          <t>Fark</t>
        </is>
      </c>
      <c r="E3" s="13" t="inlineStr">
        <is>
          <t>Degisim</t>
        </is>
      </c>
    </row>
    <row r="4">
      <c r="A4" s="14" t="inlineStr">
        <is>
          <t>KAPSAM A — UC POS MAGAZASI (FSM · Ozluce · Ist. Yolu) · is hacmi YALNIZ burada olculebilir</t>
        </is>
      </c>
      <c r="B4" s="15" t="n"/>
      <c r="C4" s="15" t="n"/>
      <c r="D4" s="15" t="n"/>
      <c r="E4" s="15" t="n"/>
    </row>
    <row r="5">
      <c r="A5" s="16" t="inlineStr">
        <is>
          <t xml:space="preserve">   Kadrolu — 31.08</t>
        </is>
      </c>
      <c r="B5" s="17" t="n">
        <v>96</v>
      </c>
      <c r="C5" s="17" t="n">
        <v>111</v>
      </c>
      <c r="D5" s="18">
        <f>C5-B5</f>
        <v/>
      </c>
      <c r="E5" s="19">
        <f>IF(B5=0,"",C5/B5-1)</f>
        <v/>
      </c>
    </row>
    <row r="6">
      <c r="A6" s="16" t="inlineStr">
        <is>
          <t xml:space="preserve">   Sezonluk — 31.08</t>
        </is>
      </c>
      <c r="B6" s="17" t="n">
        <v>47</v>
      </c>
      <c r="C6" s="17" t="n">
        <v>49</v>
      </c>
      <c r="D6" s="18">
        <f>C6-B6</f>
        <v/>
      </c>
      <c r="E6" s="19">
        <f>IF(B6=0,"",C6/B6-1)</f>
        <v/>
      </c>
    </row>
    <row r="7">
      <c r="A7" s="20">
        <f> TOPLAM KADRO — 31.08 (kisi)</f>
        <v/>
      </c>
      <c r="B7" s="21">
        <f>B5+B6</f>
        <v/>
      </c>
      <c r="C7" s="21">
        <f>C5+C6</f>
        <v/>
      </c>
      <c r="D7" s="22">
        <f>C7-B7</f>
        <v/>
      </c>
      <c r="E7" s="23">
        <f>C7/B7-1</f>
        <v/>
      </c>
    </row>
    <row r="8">
      <c r="A8" s="16" t="inlineStr">
        <is>
          <t xml:space="preserve">   Urun adedi (elleclenen) — 56 gun</t>
        </is>
      </c>
      <c r="B8" s="17" t="n">
        <v>574655.7</v>
      </c>
      <c r="C8" s="17" t="n">
        <v>775031.55</v>
      </c>
      <c r="D8" s="18">
        <f>C8-B8</f>
        <v/>
      </c>
      <c r="E8" s="19">
        <f>IF(B8=0,"",C8/B8-1)</f>
        <v/>
      </c>
    </row>
    <row r="9">
      <c r="A9" s="16" t="inlineStr">
        <is>
          <t xml:space="preserve">   Ciro — KDV haric (TL)</t>
        </is>
      </c>
      <c r="B9" s="17" t="n">
        <v>66909340.21999995</v>
      </c>
      <c r="C9" s="17" t="n">
        <v>114620580.3400001</v>
      </c>
      <c r="D9" s="18">
        <f>C9-B9</f>
        <v/>
      </c>
      <c r="E9" s="19">
        <f>IF(B9=0,"",C9/B9-1)</f>
        <v/>
      </c>
    </row>
    <row r="10">
      <c r="A10" s="16" t="inlineStr">
        <is>
          <t xml:space="preserve">   Ciro — KDV dahil (TL)</t>
        </is>
      </c>
      <c r="B10" s="17" t="n">
        <v>71817045.7700001</v>
      </c>
      <c r="C10" s="17" t="n">
        <v>122534175.6100001</v>
      </c>
      <c r="D10" s="18">
        <f>C10-B10</f>
        <v/>
      </c>
      <c r="E10" s="19">
        <f>IF(B10=0,"",C10/B10-1)</f>
        <v/>
      </c>
    </row>
    <row r="12">
      <c r="A12" s="14" t="inlineStr">
        <is>
          <t>KISI BASI — asil olcu · kapsam A toplam kadrosuna bolunur (satir 7)</t>
        </is>
      </c>
      <c r="B12" s="15" t="n"/>
      <c r="C12" s="15" t="n"/>
      <c r="D12" s="15" t="n"/>
      <c r="E12" s="15" t="n"/>
    </row>
    <row r="13">
      <c r="A13" s="16" t="inlineStr">
        <is>
          <t xml:space="preserve">   Urun adedi / kisi</t>
        </is>
      </c>
      <c r="B13" s="24">
        <f>B8/B7</f>
        <v/>
      </c>
      <c r="C13" s="24">
        <f>C8/C7</f>
        <v/>
      </c>
      <c r="D13" s="24">
        <f>C13-B13</f>
        <v/>
      </c>
      <c r="E13" s="25">
        <f>C13/B13-1</f>
        <v/>
      </c>
    </row>
    <row r="14">
      <c r="A14" s="16" t="inlineStr">
        <is>
          <t xml:space="preserve">   Urun adedi / kisi / gun</t>
        </is>
      </c>
      <c r="B14" s="26">
        <f>B8/B7/56</f>
        <v/>
      </c>
      <c r="C14" s="26">
        <f>C8/C7/56</f>
        <v/>
      </c>
      <c r="D14" s="26">
        <f>C14-B14</f>
        <v/>
      </c>
      <c r="E14" s="25">
        <f>C14/B14-1</f>
        <v/>
      </c>
    </row>
    <row r="15">
      <c r="A15" s="16" t="inlineStr">
        <is>
          <t xml:space="preserve">   Ciro (KDV haric) / kisi (TL)</t>
        </is>
      </c>
      <c r="B15" s="24">
        <f>B9/B7</f>
        <v/>
      </c>
      <c r="C15" s="24">
        <f>C9/C7</f>
        <v/>
      </c>
      <c r="D15" s="24">
        <f>C15-B15</f>
        <v/>
      </c>
      <c r="E15" s="25">
        <f>C15/B15-1</f>
        <v/>
      </c>
    </row>
    <row r="16">
      <c r="A16" s="16" t="inlineStr">
        <is>
          <t xml:space="preserve">   Is buyumesi kadro buyumesinin kac kati (adet ÷ kadro)</t>
        </is>
      </c>
      <c r="B16" s="27">
        <f>E8/E7</f>
        <v/>
      </c>
      <c r="C16" s="2" t="inlineStr">
        <is>
          <t>adet degisimi ÷ kadro degisimi</t>
        </is>
      </c>
    </row>
    <row r="17">
      <c r="A17" s="16" t="inlineStr">
        <is>
          <t xml:space="preserve">   ayni oran ciro ile (ciro ÷ kadro)</t>
        </is>
      </c>
      <c r="B17" s="28">
        <f>E9/E7</f>
        <v/>
      </c>
    </row>
    <row r="19">
      <c r="A19" s="14" t="inlineStr">
        <is>
          <t>KAPSAM B — BES MAGAZA (+ Heykel, Sura: POS raporlamasinda YOK -&gt; is hacmi olculemez)</t>
        </is>
      </c>
      <c r="B19" s="15" t="n"/>
      <c r="C19" s="15" t="n"/>
      <c r="D19" s="15" t="n"/>
      <c r="E19" s="15" t="n"/>
    </row>
    <row r="20">
      <c r="A20" s="16" t="inlineStr">
        <is>
          <t xml:space="preserve">   Kadrolu — TABAN 30.06 (sezon oncesi kurulu kadro)</t>
        </is>
      </c>
      <c r="B20" s="21" t="n">
        <v>139</v>
      </c>
      <c r="C20" s="21" t="n">
        <v>153</v>
      </c>
      <c r="D20" s="29">
        <f>C20-B20</f>
        <v/>
      </c>
      <c r="E20" s="19">
        <f>IF(B20=0,"",C20/B20-1)</f>
        <v/>
      </c>
    </row>
    <row r="21">
      <c r="A21" s="16" t="inlineStr">
        <is>
          <t xml:space="preserve">   Kadrolu — KESIM 31.08</t>
        </is>
      </c>
      <c r="B21" s="17" t="n">
        <v>135</v>
      </c>
      <c r="C21" s="17" t="n">
        <v>149</v>
      </c>
      <c r="D21" s="18">
        <f>C21-B21</f>
        <v/>
      </c>
      <c r="E21" s="19">
        <f>IF(B21=0,"",C21/B21-1)</f>
        <v/>
      </c>
    </row>
    <row r="22">
      <c r="A22" s="16" t="inlineStr">
        <is>
          <t xml:space="preserve">   Sezon ici kadrolu degisim (kesim - taban)</t>
        </is>
      </c>
      <c r="B22" s="30">
        <f>B21-B20</f>
        <v/>
      </c>
      <c r="C22" s="30">
        <f>C21-C20</f>
        <v/>
      </c>
      <c r="D22" s="2" t="inlineStr">
        <is>
          <t>iki yilda da -4: sezon icinde kadro BUYUMEDI</t>
        </is>
      </c>
    </row>
    <row r="23">
      <c r="A23" s="16" t="inlineStr">
        <is>
          <t xml:space="preserve">   Sezonluk — 31.08</t>
        </is>
      </c>
      <c r="B23" s="17" t="n">
        <v>65</v>
      </c>
      <c r="C23" s="17" t="n">
        <v>62</v>
      </c>
      <c r="D23" s="18">
        <f>C23-B23</f>
        <v/>
      </c>
      <c r="E23" s="19">
        <f>IF(B23=0,"",C23/B23-1)</f>
        <v/>
      </c>
    </row>
    <row r="24">
      <c r="A24" s="16" t="inlineStr">
        <is>
          <t xml:space="preserve">   = Toplam kadro — 31.08</t>
        </is>
      </c>
      <c r="B24" s="17" t="n">
        <v>200</v>
      </c>
      <c r="C24" s="17" t="n">
        <v>211</v>
      </c>
      <c r="D24" s="18">
        <f>C24-B24</f>
        <v/>
      </c>
      <c r="E24" s="19">
        <f>IF(B24=0,"",C24/B24-1)</f>
        <v/>
      </c>
    </row>
    <row r="26">
      <c r="A26" s="14" t="inlineStr">
        <is>
          <t>KOPRU — A ile B nasil bagli (KONTROL satiri 0 olmali)</t>
        </is>
      </c>
      <c r="B26" s="15" t="n"/>
      <c r="C26" s="15" t="n"/>
      <c r="D26" s="15" t="n"/>
      <c r="E26" s="15" t="n"/>
    </row>
    <row r="27">
      <c r="A27" s="16" t="inlineStr">
        <is>
          <t xml:space="preserve">   Kapsam A toplam kadro (31.08)</t>
        </is>
      </c>
      <c r="B27" s="17">
        <f>B7</f>
        <v/>
      </c>
      <c r="C27" s="17">
        <f>C7</f>
        <v/>
      </c>
    </row>
    <row r="28">
      <c r="A28" s="16" t="inlineStr">
        <is>
          <t xml:space="preserve">   + Heykel + Sura (kadrolu + sezonluk)</t>
        </is>
      </c>
      <c r="B28" s="17" t="n">
        <v>57</v>
      </c>
      <c r="C28" s="17" t="n">
        <v>51</v>
      </c>
      <c r="D28" s="18">
        <f>C28-B28</f>
        <v/>
      </c>
    </row>
    <row r="29">
      <c r="A29" s="16" t="inlineStr">
        <is>
          <t xml:space="preserve">   = Kapsam B toplam kadro (hesap)</t>
        </is>
      </c>
      <c r="B29" s="21">
        <f>B27+B28</f>
        <v/>
      </c>
      <c r="C29" s="21">
        <f>C27+C28</f>
        <v/>
      </c>
    </row>
    <row r="30">
      <c r="A30" s="20" t="inlineStr">
        <is>
          <t xml:space="preserve">   KONTROL: hesap - B blogundaki toplam (0 OLMALI)</t>
        </is>
      </c>
      <c r="B30" s="31">
        <f>B29-B24</f>
        <v/>
      </c>
      <c r="C30" s="31">
        <f>C29-C24</f>
        <v/>
      </c>
    </row>
    <row r="32">
      <c r="A32" s="32" t="inlineStr">
        <is>
          <t>NEDEN IKI KAPSAM: is hacmi (adet/ciro) yalniz POS raporlamasi olan UC magazada olculebilir;</t>
        </is>
      </c>
    </row>
    <row r="33">
      <c r="A33" s="32" t="inlineStr">
        <is>
          <t xml:space="preserve">   kadro hareketi ise bes magazanin tamaminda anlamli. Karismasin diye bloklar ayri + kopru var.</t>
        </is>
      </c>
    </row>
    <row r="34">
      <c r="A34" s="32" t="inlineStr">
        <is>
          <t>NEDEN IKI TARIH: 30.06 = sezon baslamadan onceki kurulu kadro (+14 farki BURADA olustu),</t>
        </is>
      </c>
    </row>
    <row r="35">
      <c r="A35" s="32" t="inlineStr">
        <is>
          <t xml:space="preserve">   31.08 = sezon zirvesindeki fiili kadro. Ayni yilin iki farkli gunu; birbirinin yerine gecmez.</t>
        </is>
      </c>
    </row>
    <row r="36">
      <c r="A36" s="32" t="inlineStr">
        <is>
          <t>Kadrolu = Kadro &lt;&gt; 'SEZONLUK' · Sezonluk = Kadro = 'SEZONLUK' · Toplam = ikisinin toplami.</t>
        </is>
      </c>
    </row>
    <row r="37">
      <c r="A37" s="32" t="inlineStr">
        <is>
          <t>Tum yuzde / oran / kopru satirlari Excel FORMULU — ham rakami degistir, hepsi kendini gunceller.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3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9" customWidth="1" min="3" max="3"/>
    <col width="9" customWidth="1" min="4" max="4"/>
    <col width="13" customWidth="1" min="5" max="5"/>
    <col width="13" customWidth="1" min="6" max="6"/>
    <col width="9" customWidth="1" min="7" max="7"/>
    <col width="11" customWidth="1" min="8" max="8"/>
    <col width="11" customWidth="1" min="9" max="9"/>
    <col width="11" customWidth="1" min="10" max="10"/>
    <col width="12" customWidth="1" min="11" max="11"/>
    <col width="12" customWidth="1" min="12" max="12"/>
    <col width="15" customWidth="1" min="13" max="13"/>
    <col width="15" customWidth="1" min="14" max="14"/>
    <col width="9" customWidth="1" min="15" max="15"/>
    <col width="13" customWidth="1" min="16" max="16"/>
    <col width="13" customWidth="1" min="17" max="17"/>
    <col width="11" customWidth="1" min="18" max="18"/>
    <col width="11" customWidth="1" min="19" max="19"/>
  </cols>
  <sheetData>
    <row r="1">
      <c r="A1" s="12" t="inlineStr">
        <is>
          <t>Magaza bazinda kisi basi is — okul-hizali pencere (56 gun, Sinav haric)</t>
        </is>
      </c>
    </row>
    <row r="3" ht="30" customHeight="1">
      <c r="A3" s="13" t="inlineStr">
        <is>
          <t>Magaza</t>
        </is>
      </c>
      <c r="B3" s="13" t="inlineStr">
        <is>
          <t>Kadro 2025</t>
        </is>
      </c>
      <c r="C3" s="13" t="inlineStr">
        <is>
          <t>Kadro 2026</t>
        </is>
      </c>
      <c r="D3" s="13" t="inlineStr">
        <is>
          <t>Kadro Δ%</t>
        </is>
      </c>
      <c r="E3" s="13" t="inlineStr">
        <is>
          <t>Urun adedi 2025</t>
        </is>
      </c>
      <c r="F3" s="13" t="inlineStr">
        <is>
          <t>Urun adedi 2026</t>
        </is>
      </c>
      <c r="G3" s="13" t="inlineStr">
        <is>
          <t>Adet Δ%</t>
        </is>
      </c>
      <c r="H3" s="13" t="inlineStr">
        <is>
          <t>Adet/kisi 2025</t>
        </is>
      </c>
      <c r="I3" s="13" t="inlineStr">
        <is>
          <t>Adet/kisi 2026</t>
        </is>
      </c>
      <c r="J3" s="13" t="inlineStr">
        <is>
          <t>Adet/kisi Δ%</t>
        </is>
      </c>
      <c r="K3" s="13" t="inlineStr">
        <is>
          <t>Adet/kisi/gun 2025</t>
        </is>
      </c>
      <c r="L3" s="13" t="inlineStr">
        <is>
          <t>Adet/kisi/gun 2026</t>
        </is>
      </c>
      <c r="M3" s="13" t="inlineStr">
        <is>
          <t>Ciro 2025 (KDV haric)</t>
        </is>
      </c>
      <c r="N3" s="13" t="inlineStr">
        <is>
          <t>Ciro 2026 (KDV haric)</t>
        </is>
      </c>
      <c r="O3" s="13" t="inlineStr">
        <is>
          <t>Ciro Δ%</t>
        </is>
      </c>
      <c r="P3" s="13" t="inlineStr">
        <is>
          <t>Ciro/kisi 2025</t>
        </is>
      </c>
      <c r="Q3" s="13" t="inlineStr">
        <is>
          <t>Ciro/kisi 2026</t>
        </is>
      </c>
      <c r="R3" s="13" t="inlineStr">
        <is>
          <t>Ciro/kisi Δ%</t>
        </is>
      </c>
      <c r="S3" s="13" t="inlineStr">
        <is>
          <t>Is / kadro (kac kat)</t>
        </is>
      </c>
    </row>
    <row r="4">
      <c r="A4" s="16" t="inlineStr">
        <is>
          <t>İst. Yolu</t>
        </is>
      </c>
      <c r="B4" s="17" t="n">
        <v>50</v>
      </c>
      <c r="C4" s="17" t="n">
        <v>61</v>
      </c>
      <c r="D4" s="19">
        <f>C4/B4-1</f>
        <v/>
      </c>
      <c r="E4" s="17" t="n">
        <v>173336</v>
      </c>
      <c r="F4" s="17" t="n">
        <v>258008.5</v>
      </c>
      <c r="G4" s="19">
        <f>F4/E4-1</f>
        <v/>
      </c>
      <c r="H4" s="17">
        <f>E4/B4</f>
        <v/>
      </c>
      <c r="I4" s="17">
        <f>F4/C4</f>
        <v/>
      </c>
      <c r="J4" s="33">
        <f>I4/H4-1</f>
        <v/>
      </c>
      <c r="K4" s="34">
        <f>E4/B4/56</f>
        <v/>
      </c>
      <c r="L4" s="34">
        <f>F4/C4/56</f>
        <v/>
      </c>
      <c r="M4" s="17" t="n">
        <v>20434775.07999999</v>
      </c>
      <c r="N4" s="17" t="n">
        <v>40377406.53000001</v>
      </c>
      <c r="O4" s="19">
        <f>N4/M4-1</f>
        <v/>
      </c>
      <c r="P4" s="17">
        <f>M4/B4</f>
        <v/>
      </c>
      <c r="Q4" s="17">
        <f>N4/C4</f>
        <v/>
      </c>
      <c r="R4" s="33">
        <f>Q4/P4-1</f>
        <v/>
      </c>
      <c r="S4" s="35">
        <f>G4/D4</f>
        <v/>
      </c>
    </row>
    <row r="5">
      <c r="A5" s="16" t="inlineStr">
        <is>
          <t>Özlüce</t>
        </is>
      </c>
      <c r="B5" s="17" t="n">
        <v>51</v>
      </c>
      <c r="C5" s="17" t="n">
        <v>54</v>
      </c>
      <c r="D5" s="19">
        <f>C5/B5-1</f>
        <v/>
      </c>
      <c r="E5" s="17" t="n">
        <v>230764.7</v>
      </c>
      <c r="F5" s="17" t="n">
        <v>301250.05</v>
      </c>
      <c r="G5" s="19">
        <f>F5/E5-1</f>
        <v/>
      </c>
      <c r="H5" s="17">
        <f>E5/B5</f>
        <v/>
      </c>
      <c r="I5" s="17">
        <f>F5/C5</f>
        <v/>
      </c>
      <c r="J5" s="33">
        <f>I5/H5-1</f>
        <v/>
      </c>
      <c r="K5" s="34">
        <f>E5/B5/56</f>
        <v/>
      </c>
      <c r="L5" s="34">
        <f>F5/C5/56</f>
        <v/>
      </c>
      <c r="M5" s="17" t="n">
        <v>28347121.58999998</v>
      </c>
      <c r="N5" s="17" t="n">
        <v>44784483.15000005</v>
      </c>
      <c r="O5" s="19">
        <f>N5/M5-1</f>
        <v/>
      </c>
      <c r="P5" s="17">
        <f>M5/B5</f>
        <v/>
      </c>
      <c r="Q5" s="17">
        <f>N5/C5</f>
        <v/>
      </c>
      <c r="R5" s="33">
        <f>Q5/P5-1</f>
        <v/>
      </c>
      <c r="S5" s="35">
        <f>G5/D5</f>
        <v/>
      </c>
    </row>
    <row r="6">
      <c r="A6" s="16" t="inlineStr">
        <is>
          <t>FSM</t>
        </is>
      </c>
      <c r="B6" s="17" t="n">
        <v>42</v>
      </c>
      <c r="C6" s="17" t="n">
        <v>45</v>
      </c>
      <c r="D6" s="19">
        <f>C6/B6-1</f>
        <v/>
      </c>
      <c r="E6" s="17" t="n">
        <v>170555</v>
      </c>
      <c r="F6" s="17" t="n">
        <v>215773</v>
      </c>
      <c r="G6" s="19">
        <f>F6/E6-1</f>
        <v/>
      </c>
      <c r="H6" s="17">
        <f>E6/B6</f>
        <v/>
      </c>
      <c r="I6" s="17">
        <f>F6/C6</f>
        <v/>
      </c>
      <c r="J6" s="33">
        <f>I6/H6-1</f>
        <v/>
      </c>
      <c r="K6" s="34">
        <f>E6/B6/56</f>
        <v/>
      </c>
      <c r="L6" s="34">
        <f>F6/C6/56</f>
        <v/>
      </c>
      <c r="M6" s="17" t="n">
        <v>18127443.54999999</v>
      </c>
      <c r="N6" s="17" t="n">
        <v>29458690.66</v>
      </c>
      <c r="O6" s="19">
        <f>N6/M6-1</f>
        <v/>
      </c>
      <c r="P6" s="17">
        <f>M6/B6</f>
        <v/>
      </c>
      <c r="Q6" s="17">
        <f>N6/C6</f>
        <v/>
      </c>
      <c r="R6" s="33">
        <f>Q6/P6-1</f>
        <v/>
      </c>
      <c r="S6" s="35">
        <f>G6/D6</f>
        <v/>
      </c>
    </row>
    <row r="7">
      <c r="A7" s="36" t="inlineStr">
        <is>
          <t>TOPLAM</t>
        </is>
      </c>
      <c r="B7" s="21">
        <f>SUM(B4:B6)</f>
        <v/>
      </c>
      <c r="C7" s="21">
        <f>SUM(C4:C6)</f>
        <v/>
      </c>
      <c r="D7" s="37">
        <f>C7/B7-1</f>
        <v/>
      </c>
      <c r="E7" s="21">
        <f>SUM(E4:E6)</f>
        <v/>
      </c>
      <c r="F7" s="21">
        <f>SUM(F4:F6)</f>
        <v/>
      </c>
      <c r="G7" s="37">
        <f>F7/E7-1</f>
        <v/>
      </c>
      <c r="H7" s="21">
        <f>E7/B7</f>
        <v/>
      </c>
      <c r="I7" s="21">
        <f>F7/C7</f>
        <v/>
      </c>
      <c r="J7" s="25">
        <f>I7/H7-1</f>
        <v/>
      </c>
      <c r="K7" s="38">
        <f>E7/B7/56</f>
        <v/>
      </c>
      <c r="L7" s="38">
        <f>F7/C7/56</f>
        <v/>
      </c>
      <c r="M7" s="21">
        <f>SUM(M4:M6)</f>
        <v/>
      </c>
      <c r="N7" s="21">
        <f>SUM(N4:N6)</f>
        <v/>
      </c>
      <c r="O7" s="37">
        <f>N7/M7-1</f>
        <v/>
      </c>
      <c r="P7" s="21">
        <f>M7/B7</f>
        <v/>
      </c>
      <c r="Q7" s="21">
        <f>N7/C7</f>
        <v/>
      </c>
      <c r="R7" s="25">
        <f>Q7/P7-1</f>
        <v/>
      </c>
      <c r="S7" s="39">
        <f>G7/D7</f>
        <v/>
      </c>
    </row>
    <row r="29">
      <c r="A29" s="32" t="inlineStr">
        <is>
          <t>Kadro = 31.08 itibariyla o magazada fiilen calisan TUM personel (sezonluk + kadrolu).</t>
        </is>
      </c>
    </row>
    <row r="30">
      <c r="A30" s="32" t="inlineStr">
        <is>
          <t>'Is / kadro' = urun adedi buyumesi / kadro buyumesi. 1,0x'in uzeri: is kadrodan hizli buyudu.</t>
        </is>
      </c>
    </row>
    <row r="31">
      <c r="A31" s="32" t="inlineStr">
        <is>
          <t>Ist. Yolu kadrosu en cok buyuyen magaza (50 -&gt; 61) ama ise ragmen kisi basi adedi de artti.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9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9" customWidth="1" min="13" max="13"/>
  </cols>
  <sheetData>
    <row r="1">
      <c r="A1" s="12" t="inlineStr">
        <is>
          <t>Bes magaza kadro tablosu — as-of Igt &lt;= T AND (Ict IS NULL OR Ict &gt;= T)</t>
        </is>
      </c>
    </row>
    <row r="3" ht="30" customHeight="1">
      <c r="A3" s="13" t="inlineStr">
        <is>
          <t>Magaza</t>
        </is>
      </c>
      <c r="B3" s="13" t="inlineStr">
        <is>
          <t>Kadrolu taban 30.06 · 2025</t>
        </is>
      </c>
      <c r="C3" s="13" t="inlineStr">
        <is>
          <t>Kadrolu taban 30.06 · 2026</t>
        </is>
      </c>
      <c r="D3" s="13" t="inlineStr">
        <is>
          <t>Taban Δ</t>
        </is>
      </c>
      <c r="E3" s="13" t="inlineStr">
        <is>
          <t>Kadrolu 31.08 · 2025</t>
        </is>
      </c>
      <c r="F3" s="13" t="inlineStr">
        <is>
          <t>Kadrolu 31.08 · 2026</t>
        </is>
      </c>
      <c r="G3" s="13" t="inlineStr">
        <is>
          <t>Sezon ici hareket 2025</t>
        </is>
      </c>
      <c r="H3" s="13" t="inlineStr">
        <is>
          <t>Sezon ici hareket 2026</t>
        </is>
      </c>
      <c r="I3" s="13" t="inlineStr">
        <is>
          <t>Sezonluk 31.08 · 2025</t>
        </is>
      </c>
      <c r="J3" s="13" t="inlineStr">
        <is>
          <t>Sezonluk 31.08 · 2026</t>
        </is>
      </c>
      <c r="K3" s="13" t="inlineStr">
        <is>
          <t>Toplam 31.08 · 2025</t>
        </is>
      </c>
      <c r="L3" s="13" t="inlineStr">
        <is>
          <t>Toplam 31.08 · 2026</t>
        </is>
      </c>
      <c r="M3" s="13" t="inlineStr">
        <is>
          <t>Toplam Δ</t>
        </is>
      </c>
    </row>
    <row r="4">
      <c r="A4" s="16" t="inlineStr">
        <is>
          <t>İST. YOLU</t>
        </is>
      </c>
      <c r="B4" s="17" t="n">
        <v>29</v>
      </c>
      <c r="C4" s="17" t="n">
        <v>35</v>
      </c>
      <c r="D4" s="40">
        <f>C4-B4</f>
        <v/>
      </c>
      <c r="E4" s="17" t="n">
        <v>27</v>
      </c>
      <c r="F4" s="17" t="n">
        <v>36</v>
      </c>
      <c r="G4" s="40">
        <f>E4-B4</f>
        <v/>
      </c>
      <c r="H4" s="40">
        <f>F4-C4</f>
        <v/>
      </c>
      <c r="I4" s="17" t="n">
        <v>23</v>
      </c>
      <c r="J4" s="17" t="n">
        <v>25</v>
      </c>
      <c r="K4" s="17">
        <f>E4+I4</f>
        <v/>
      </c>
      <c r="L4" s="17">
        <f>F4+J4</f>
        <v/>
      </c>
      <c r="M4" s="40">
        <f>L4-K4</f>
        <v/>
      </c>
    </row>
    <row r="5">
      <c r="A5" s="16" t="inlineStr">
        <is>
          <t>ÖZLÜCE</t>
        </is>
      </c>
      <c r="B5" s="17" t="n">
        <v>39</v>
      </c>
      <c r="C5" s="17" t="n">
        <v>44</v>
      </c>
      <c r="D5" s="40">
        <f>C5-B5</f>
        <v/>
      </c>
      <c r="E5" s="17" t="n">
        <v>36</v>
      </c>
      <c r="F5" s="17" t="n">
        <v>41</v>
      </c>
      <c r="G5" s="40">
        <f>E5-B5</f>
        <v/>
      </c>
      <c r="H5" s="40">
        <f>F5-C5</f>
        <v/>
      </c>
      <c r="I5" s="17" t="n">
        <v>15</v>
      </c>
      <c r="J5" s="17" t="n">
        <v>13</v>
      </c>
      <c r="K5" s="17">
        <f>E5+I5</f>
        <v/>
      </c>
      <c r="L5" s="17">
        <f>F5+J5</f>
        <v/>
      </c>
      <c r="M5" s="40">
        <f>L5-K5</f>
        <v/>
      </c>
    </row>
    <row r="6">
      <c r="A6" s="16" t="inlineStr">
        <is>
          <t>FSM</t>
        </is>
      </c>
      <c r="B6" s="17" t="n">
        <v>34</v>
      </c>
      <c r="C6" s="17" t="n">
        <v>35</v>
      </c>
      <c r="D6" s="40">
        <f>C6-B6</f>
        <v/>
      </c>
      <c r="E6" s="17" t="n">
        <v>33</v>
      </c>
      <c r="F6" s="17" t="n">
        <v>34</v>
      </c>
      <c r="G6" s="40">
        <f>E6-B6</f>
        <v/>
      </c>
      <c r="H6" s="40">
        <f>F6-C6</f>
        <v/>
      </c>
      <c r="I6" s="17" t="n">
        <v>9</v>
      </c>
      <c r="J6" s="17" t="n">
        <v>11</v>
      </c>
      <c r="K6" s="17">
        <f>E6+I6</f>
        <v/>
      </c>
      <c r="L6" s="17">
        <f>F6+J6</f>
        <v/>
      </c>
      <c r="M6" s="40">
        <f>L6-K6</f>
        <v/>
      </c>
    </row>
    <row r="7">
      <c r="A7" s="16" t="inlineStr">
        <is>
          <t>HEYKEL</t>
        </is>
      </c>
      <c r="B7" s="17" t="n">
        <v>28</v>
      </c>
      <c r="C7" s="17" t="n">
        <v>29</v>
      </c>
      <c r="D7" s="40">
        <f>C7-B7</f>
        <v/>
      </c>
      <c r="E7" s="17" t="n">
        <v>28</v>
      </c>
      <c r="F7" s="17" t="n">
        <v>26</v>
      </c>
      <c r="G7" s="40">
        <f>E7-B7</f>
        <v/>
      </c>
      <c r="H7" s="40">
        <f>F7-C7</f>
        <v/>
      </c>
      <c r="I7" s="17" t="n">
        <v>12</v>
      </c>
      <c r="J7" s="17" t="n">
        <v>9</v>
      </c>
      <c r="K7" s="17">
        <f>E7+I7</f>
        <v/>
      </c>
      <c r="L7" s="17">
        <f>F7+J7</f>
        <v/>
      </c>
      <c r="M7" s="40">
        <f>L7-K7</f>
        <v/>
      </c>
    </row>
    <row r="8">
      <c r="A8" s="16" t="inlineStr">
        <is>
          <t>ŞURA</t>
        </is>
      </c>
      <c r="B8" s="17" t="n">
        <v>9</v>
      </c>
      <c r="C8" s="17" t="n">
        <v>10</v>
      </c>
      <c r="D8" s="40">
        <f>C8-B8</f>
        <v/>
      </c>
      <c r="E8" s="17" t="n">
        <v>11</v>
      </c>
      <c r="F8" s="17" t="n">
        <v>12</v>
      </c>
      <c r="G8" s="40">
        <f>E8-B8</f>
        <v/>
      </c>
      <c r="H8" s="40">
        <f>F8-C8</f>
        <v/>
      </c>
      <c r="I8" s="17" t="n">
        <v>6</v>
      </c>
      <c r="J8" s="17" t="n">
        <v>4</v>
      </c>
      <c r="K8" s="17">
        <f>E8+I8</f>
        <v/>
      </c>
      <c r="L8" s="17">
        <f>F8+J8</f>
        <v/>
      </c>
      <c r="M8" s="40">
        <f>L8-K8</f>
        <v/>
      </c>
    </row>
    <row r="9">
      <c r="A9" s="36" t="inlineStr">
        <is>
          <t>TOPLAM</t>
        </is>
      </c>
      <c r="B9" s="21">
        <f>SUM(B4:B8)</f>
        <v/>
      </c>
      <c r="C9" s="21">
        <f>SUM(C4:C8)</f>
        <v/>
      </c>
      <c r="D9" s="30">
        <f>C9-B9</f>
        <v/>
      </c>
      <c r="E9" s="21">
        <f>SUM(E4:E8)</f>
        <v/>
      </c>
      <c r="F9" s="21">
        <f>SUM(F4:F8)</f>
        <v/>
      </c>
      <c r="G9" s="41">
        <f>E9-B9</f>
        <v/>
      </c>
      <c r="H9" s="30">
        <f>F9-C9</f>
        <v/>
      </c>
      <c r="I9" s="21">
        <f>SUM(I4:I8)</f>
        <v/>
      </c>
      <c r="J9" s="21">
        <f>SUM(J4:J8)</f>
        <v/>
      </c>
      <c r="K9" s="21">
        <f>E9+I9</f>
        <v/>
      </c>
      <c r="L9" s="21">
        <f>F9+J9</f>
        <v/>
      </c>
      <c r="M9" s="41">
        <f>L9-K9</f>
        <v/>
      </c>
    </row>
    <row r="11">
      <c r="A11" s="32" t="inlineStr">
        <is>
          <t>TABAN FARKI (D kolonu, TOPLAM satiri) = patrona soylenen +14: kadrolu 139 -&gt; 153, 1 TEMMUZ'DAN ONCE olustu.</t>
        </is>
      </c>
    </row>
    <row r="12">
      <c r="A12" s="32" t="inlineStr">
        <is>
          <t>SEZON ICI HAREKET = kesim - taban. 2026'da -4; 2025'te de -4 -&gt; sezon icinde kadro buyutulmedi, iki yilin deseni ayni.</t>
        </is>
      </c>
    </row>
    <row r="13">
      <c r="A13" s="32" t="inlineStr">
        <is>
          <t>Sayim TEK TABLO uzerinden (vw_PersonelDepartman). Onceki surumde perbilgi LEFT JOIN'i bir kisiyi iki kez saymis:</t>
        </is>
      </c>
    </row>
    <row r="14">
      <c r="A14" s="32" t="inlineStr">
        <is>
          <t xml:space="preserve">   Ozluce 31.08.2026 kadrolu 42 gorunuyordu, DOGRUSU 41 (teyit: KADRO 41 + SEZONLUK 13 = 54 kisi).</t>
        </is>
      </c>
    </row>
    <row r="15">
      <c r="A15" s="32" t="inlineStr">
        <is>
          <t xml:space="preserve">   Bu yuzden magaza toplami 150 degil 149; sezon ici hareket -3 degil -4.</t>
        </is>
      </c>
    </row>
    <row r="16">
      <c r="A16" s="32" t="inlineStr">
        <is>
          <t>Heykel ve Sura POS raporlamasinda yok -&gt; is hacmi sayfalarinda yer almaz, kadro tablosunda VARDIR.</t>
        </is>
      </c>
    </row>
    <row r="17">
      <c r="A17" s="32" t="inlineStr">
        <is>
          <t>KAPSAM: Lokasyon = MAGAZALAR. Cift gorevli 1 kisi (GM satinalma 'KITAP DISI S.A' + Heykel) bu</t>
        </is>
      </c>
    </row>
    <row r="18">
      <c r="A18" s="32" t="inlineStr">
        <is>
          <t xml:space="preserve">   kapsamda GORUNMEZ. O kisi Heykel'e eklenirse taban 140 -&gt; 154, kesim 136 -&gt; 150 olur;</t>
        </is>
      </c>
    </row>
    <row r="19">
      <c r="A19" s="32" t="inlineStr">
        <is>
          <t xml:space="preserve">   TABAN FARKI yine +14, SEZON ICI HAREKET yine -4. Yani cift gorev savunmayi DEGISTIRMIYOR.</t>
        </is>
      </c>
    </row>
    <row r="20">
      <c r="A20" s="32" t="inlineStr">
        <is>
          <t>Kaynak view anlik durumu tutar (kadro gecmisi yok): kisinin BUGUNKU lokasyon etiketi her iki yila</t>
        </is>
      </c>
    </row>
    <row r="21">
      <c r="A21" s="32" t="inlineStr">
        <is>
          <t xml:space="preserve">   da uygulanir. Bu yuzden kapsam iki yilda tutarli, ama gecmis unvan/lokasyon degisimi izlenemez.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0" customWidth="1" min="4" max="4"/>
    <col width="11" customWidth="1" min="5" max="5"/>
    <col width="11" customWidth="1" min="6" max="6"/>
    <col width="10" customWidth="1" min="7" max="7"/>
    <col width="11" customWidth="1" min="8" max="8"/>
    <col width="11" customWidth="1" min="9" max="9"/>
    <col width="10" customWidth="1" min="10" max="10"/>
    <col width="12" customWidth="1" min="11" max="11"/>
  </cols>
  <sheetData>
    <row r="1">
      <c r="A1" s="12" t="inlineStr">
        <is>
          <t>Bölüm bazında kadro — 31.08 kesimi, beş mağaza</t>
        </is>
      </c>
    </row>
    <row r="3" ht="30" customHeight="1">
      <c r="A3" s="13" t="inlineStr">
        <is>
          <t>Bolum</t>
        </is>
      </c>
      <c r="B3" s="13" t="inlineStr">
        <is>
          <t>Kadrolu 2025</t>
        </is>
      </c>
      <c r="C3" s="13" t="inlineStr">
        <is>
          <t>Kadrolu 2026</t>
        </is>
      </c>
      <c r="D3" s="13" t="inlineStr">
        <is>
          <t>Kadrolu Δ</t>
        </is>
      </c>
      <c r="E3" s="13" t="inlineStr">
        <is>
          <t>Sezonluk 2025</t>
        </is>
      </c>
      <c r="F3" s="13" t="inlineStr">
        <is>
          <t>Sezonluk 2026</t>
        </is>
      </c>
      <c r="G3" s="13" t="inlineStr">
        <is>
          <t>Sezonluk Δ</t>
        </is>
      </c>
      <c r="H3" s="13" t="inlineStr">
        <is>
          <t>Toplam 2025</t>
        </is>
      </c>
      <c r="I3" s="13" t="inlineStr">
        <is>
          <t>Toplam 2026</t>
        </is>
      </c>
      <c r="J3" s="13" t="inlineStr">
        <is>
          <t>Toplam Δ</t>
        </is>
      </c>
      <c r="K3" s="13" t="inlineStr">
        <is>
          <t>Sezonluk payi 2026</t>
        </is>
      </c>
    </row>
    <row r="4">
      <c r="A4" s="16" t="inlineStr">
        <is>
          <t>YARDIMCI KİTAP</t>
        </is>
      </c>
      <c r="B4" s="17" t="n">
        <v>24</v>
      </c>
      <c r="C4" s="17" t="n">
        <v>30</v>
      </c>
      <c r="D4" s="40">
        <f>C4-B4</f>
        <v/>
      </c>
      <c r="E4" s="17" t="n">
        <v>23</v>
      </c>
      <c r="F4" s="17" t="n">
        <v>19</v>
      </c>
      <c r="G4" s="40">
        <f>F4-E4</f>
        <v/>
      </c>
      <c r="H4" s="17">
        <f>B4+E4</f>
        <v/>
      </c>
      <c r="I4" s="17">
        <f>C4+F4</f>
        <v/>
      </c>
      <c r="J4" s="40">
        <f>I4-H4</f>
        <v/>
      </c>
      <c r="K4" s="42">
        <f>IF(I4=0,"",F4/I4)</f>
        <v/>
      </c>
    </row>
    <row r="5">
      <c r="A5" s="16" t="inlineStr">
        <is>
          <t>KIRTASİYE</t>
        </is>
      </c>
      <c r="B5" s="17" t="n">
        <v>22</v>
      </c>
      <c r="C5" s="17" t="n">
        <v>25</v>
      </c>
      <c r="D5" s="40">
        <f>C5-B5</f>
        <v/>
      </c>
      <c r="E5" s="17" t="n">
        <v>25</v>
      </c>
      <c r="F5" s="17" t="n">
        <v>22</v>
      </c>
      <c r="G5" s="40">
        <f>F5-E5</f>
        <v/>
      </c>
      <c r="H5" s="17">
        <f>B5+E5</f>
        <v/>
      </c>
      <c r="I5" s="17">
        <f>C5+F5</f>
        <v/>
      </c>
      <c r="J5" s="40">
        <f>I5-H5</f>
        <v/>
      </c>
      <c r="K5" s="42">
        <f>IF(I5=0,"",F5/I5)</f>
        <v/>
      </c>
    </row>
    <row r="6">
      <c r="A6" s="16" t="inlineStr">
        <is>
          <t>KÜLTÜR</t>
        </is>
      </c>
      <c r="B6" s="17" t="n">
        <v>19</v>
      </c>
      <c r="C6" s="17" t="n">
        <v>20</v>
      </c>
      <c r="D6" s="40">
        <f>C6-B6</f>
        <v/>
      </c>
      <c r="E6" s="17" t="n">
        <v>0</v>
      </c>
      <c r="F6" s="17" t="n">
        <v>2</v>
      </c>
      <c r="G6" s="40">
        <f>F6-E6</f>
        <v/>
      </c>
      <c r="H6" s="17">
        <f>B6+E6</f>
        <v/>
      </c>
      <c r="I6" s="17">
        <f>C6+F6</f>
        <v/>
      </c>
      <c r="J6" s="40">
        <f>I6-H6</f>
        <v/>
      </c>
      <c r="K6" s="42">
        <f>IF(I6=0,"",F6/I6)</f>
        <v/>
      </c>
    </row>
    <row r="7">
      <c r="A7" s="16" t="inlineStr">
        <is>
          <t>KASA</t>
        </is>
      </c>
      <c r="B7" s="17" t="n">
        <v>13</v>
      </c>
      <c r="C7" s="17" t="n">
        <v>15</v>
      </c>
      <c r="D7" s="40">
        <f>C7-B7</f>
        <v/>
      </c>
      <c r="E7" s="17" t="n">
        <v>9</v>
      </c>
      <c r="F7" s="17" t="n">
        <v>9</v>
      </c>
      <c r="G7" s="40">
        <f>F7-E7</f>
        <v/>
      </c>
      <c r="H7" s="17">
        <f>B7+E7</f>
        <v/>
      </c>
      <c r="I7" s="17">
        <f>C7+F7</f>
        <v/>
      </c>
      <c r="J7" s="40">
        <f>I7-H7</f>
        <v/>
      </c>
      <c r="K7" s="42">
        <f>IF(I7=0,"",F7/I7)</f>
        <v/>
      </c>
    </row>
    <row r="8">
      <c r="A8" s="16" t="inlineStr">
        <is>
          <t>ÇOCUK</t>
        </is>
      </c>
      <c r="B8" s="17" t="n">
        <v>15</v>
      </c>
      <c r="C8" s="17" t="n">
        <v>14</v>
      </c>
      <c r="D8" s="40">
        <f>C8-B8</f>
        <v/>
      </c>
      <c r="E8" s="17" t="n">
        <v>3</v>
      </c>
      <c r="F8" s="17" t="n">
        <v>5</v>
      </c>
      <c r="G8" s="40">
        <f>F8-E8</f>
        <v/>
      </c>
      <c r="H8" s="17">
        <f>B8+E8</f>
        <v/>
      </c>
      <c r="I8" s="17">
        <f>C8+F8</f>
        <v/>
      </c>
      <c r="J8" s="40">
        <f>I8-H8</f>
        <v/>
      </c>
      <c r="K8" s="42">
        <f>IF(I8=0,"",F8/I8)</f>
        <v/>
      </c>
    </row>
    <row r="9">
      <c r="A9" s="16" t="inlineStr">
        <is>
          <t>OYUNCAK</t>
        </is>
      </c>
      <c r="B9" s="17" t="n">
        <v>9</v>
      </c>
      <c r="C9" s="17" t="n">
        <v>10</v>
      </c>
      <c r="D9" s="40">
        <f>C9-B9</f>
        <v/>
      </c>
      <c r="E9" s="17" t="n">
        <v>0</v>
      </c>
      <c r="F9" s="17" t="n">
        <v>0</v>
      </c>
      <c r="G9" s="40">
        <f>F9-E9</f>
        <v/>
      </c>
      <c r="H9" s="17">
        <f>B9+E9</f>
        <v/>
      </c>
      <c r="I9" s="17">
        <f>C9+F9</f>
        <v/>
      </c>
      <c r="J9" s="40">
        <f>I9-H9</f>
        <v/>
      </c>
      <c r="K9" s="42">
        <f>IF(I9=0,"",F9/I9)</f>
        <v/>
      </c>
    </row>
    <row r="10">
      <c r="A10" s="16" t="inlineStr">
        <is>
          <t>AKADEMİ</t>
        </is>
      </c>
      <c r="B10" s="17" t="n">
        <v>7</v>
      </c>
      <c r="C10" s="17" t="n">
        <v>9</v>
      </c>
      <c r="D10" s="40">
        <f>C10-B10</f>
        <v/>
      </c>
      <c r="E10" s="17" t="n">
        <v>1</v>
      </c>
      <c r="F10" s="17" t="n">
        <v>0</v>
      </c>
      <c r="G10" s="40">
        <f>F10-E10</f>
        <v/>
      </c>
      <c r="H10" s="17">
        <f>B10+E10</f>
        <v/>
      </c>
      <c r="I10" s="17">
        <f>C10+F10</f>
        <v/>
      </c>
      <c r="J10" s="40">
        <f>I10-H10</f>
        <v/>
      </c>
      <c r="K10" s="42">
        <f>IF(I10=0,"",F10/I10)</f>
        <v/>
      </c>
    </row>
    <row r="11">
      <c r="A11" s="16" t="inlineStr">
        <is>
          <t>MAĞAZA</t>
        </is>
      </c>
      <c r="B11" s="17" t="n">
        <v>8</v>
      </c>
      <c r="C11" s="17" t="n">
        <v>8</v>
      </c>
      <c r="D11" s="40">
        <f>C11-B11</f>
        <v/>
      </c>
      <c r="E11" s="17" t="n">
        <v>0</v>
      </c>
      <c r="F11" s="17" t="n">
        <v>0</v>
      </c>
      <c r="G11" s="40">
        <f>F11-E11</f>
        <v/>
      </c>
      <c r="H11" s="17">
        <f>B11+E11</f>
        <v/>
      </c>
      <c r="I11" s="17">
        <f>C11+F11</f>
        <v/>
      </c>
      <c r="J11" s="40">
        <f>I11-H11</f>
        <v/>
      </c>
      <c r="K11" s="42">
        <f>IF(I11=0,"",F11/I11)</f>
        <v/>
      </c>
    </row>
    <row r="12">
      <c r="A12" s="16" t="inlineStr">
        <is>
          <t>MAL KABUL</t>
        </is>
      </c>
      <c r="B12" s="17" t="n">
        <v>6</v>
      </c>
      <c r="C12" s="17" t="n">
        <v>6</v>
      </c>
      <c r="D12" s="40">
        <f>C12-B12</f>
        <v/>
      </c>
      <c r="E12" s="17" t="n">
        <v>1</v>
      </c>
      <c r="F12" s="17" t="n">
        <v>1</v>
      </c>
      <c r="G12" s="40">
        <f>F12-E12</f>
        <v/>
      </c>
      <c r="H12" s="17">
        <f>B12+E12</f>
        <v/>
      </c>
      <c r="I12" s="17">
        <f>C12+F12</f>
        <v/>
      </c>
      <c r="J12" s="40">
        <f>I12-H12</f>
        <v/>
      </c>
      <c r="K12" s="42">
        <f>IF(I12=0,"",F12/I12)</f>
        <v/>
      </c>
    </row>
    <row r="13">
      <c r="A13" s="16" t="inlineStr">
        <is>
          <t>İDARİ İŞLER</t>
        </is>
      </c>
      <c r="B13" s="17" t="n">
        <v>6</v>
      </c>
      <c r="C13" s="17" t="n">
        <v>6</v>
      </c>
      <c r="D13" s="40">
        <f>C13-B13</f>
        <v/>
      </c>
      <c r="E13" s="17" t="n">
        <v>0</v>
      </c>
      <c r="F13" s="17" t="n">
        <v>0</v>
      </c>
      <c r="G13" s="40">
        <f>F13-E13</f>
        <v/>
      </c>
      <c r="H13" s="17">
        <f>B13+E13</f>
        <v/>
      </c>
      <c r="I13" s="17">
        <f>C13+F13</f>
        <v/>
      </c>
      <c r="J13" s="40">
        <f>I13-H13</f>
        <v/>
      </c>
      <c r="K13" s="42">
        <f>IF(I13=0,"",F13/I13)</f>
        <v/>
      </c>
    </row>
    <row r="14">
      <c r="A14" s="16" t="inlineStr">
        <is>
          <t>ETKİNLİK</t>
        </is>
      </c>
      <c r="B14" s="17" t="n">
        <v>2</v>
      </c>
      <c r="C14" s="17" t="n">
        <v>3</v>
      </c>
      <c r="D14" s="40">
        <f>C14-B14</f>
        <v/>
      </c>
      <c r="E14" s="17" t="n">
        <v>0</v>
      </c>
      <c r="F14" s="17" t="n">
        <v>0</v>
      </c>
      <c r="G14" s="40">
        <f>F14-E14</f>
        <v/>
      </c>
      <c r="H14" s="17">
        <f>B14+E14</f>
        <v/>
      </c>
      <c r="I14" s="17">
        <f>C14+F14</f>
        <v/>
      </c>
      <c r="J14" s="40">
        <f>I14-H14</f>
        <v/>
      </c>
      <c r="K14" s="42">
        <f>IF(I14=0,"",F14/I14)</f>
        <v/>
      </c>
    </row>
    <row r="15">
      <c r="A15" s="16" t="inlineStr">
        <is>
          <t>ŞURA</t>
        </is>
      </c>
      <c r="B15" s="17" t="n">
        <v>1</v>
      </c>
      <c r="C15" s="17" t="n">
        <v>3</v>
      </c>
      <c r="D15" s="40">
        <f>C15-B15</f>
        <v/>
      </c>
      <c r="E15" s="17" t="n">
        <v>0</v>
      </c>
      <c r="F15" s="17" t="n">
        <v>0</v>
      </c>
      <c r="G15" s="40">
        <f>F15-E15</f>
        <v/>
      </c>
      <c r="H15" s="17">
        <f>B15+E15</f>
        <v/>
      </c>
      <c r="I15" s="17">
        <f>C15+F15</f>
        <v/>
      </c>
      <c r="J15" s="40">
        <f>I15-H15</f>
        <v/>
      </c>
      <c r="K15" s="42">
        <f>IF(I15=0,"",F15/I15)</f>
        <v/>
      </c>
    </row>
    <row r="16">
      <c r="A16" s="16" t="inlineStr">
        <is>
          <t>ÖN MUHASEBE</t>
        </is>
      </c>
      <c r="B16" s="17" t="n">
        <v>1</v>
      </c>
      <c r="C16" s="17" t="n">
        <v>0</v>
      </c>
      <c r="D16" s="40">
        <f>C16-B16</f>
        <v/>
      </c>
      <c r="E16" s="17" t="n">
        <v>0</v>
      </c>
      <c r="F16" s="17" t="n">
        <v>0</v>
      </c>
      <c r="G16" s="40">
        <f>F16-E16</f>
        <v/>
      </c>
      <c r="H16" s="17">
        <f>B16+E16</f>
        <v/>
      </c>
      <c r="I16" s="17">
        <f>C16+F16</f>
        <v/>
      </c>
      <c r="J16" s="40">
        <f>I16-H16</f>
        <v/>
      </c>
      <c r="K16" s="42">
        <f>IF(I16=0,"",F16/I16)</f>
        <v/>
      </c>
    </row>
    <row r="17">
      <c r="A17" s="16" t="inlineStr">
        <is>
          <t>MUHASEBE</t>
        </is>
      </c>
      <c r="B17" s="17" t="n">
        <v>1</v>
      </c>
      <c r="C17" s="17" t="n">
        <v>0</v>
      </c>
      <c r="D17" s="40">
        <f>C17-B17</f>
        <v/>
      </c>
      <c r="E17" s="17" t="n">
        <v>0</v>
      </c>
      <c r="F17" s="17" t="n">
        <v>0</v>
      </c>
      <c r="G17" s="40">
        <f>F17-E17</f>
        <v/>
      </c>
      <c r="H17" s="17">
        <f>B17+E17</f>
        <v/>
      </c>
      <c r="I17" s="17">
        <f>C17+F17</f>
        <v/>
      </c>
      <c r="J17" s="40">
        <f>I17-H17</f>
        <v/>
      </c>
      <c r="K17" s="42">
        <f>IF(I17=0,"",F17/I17)</f>
        <v/>
      </c>
    </row>
    <row r="18">
      <c r="A18" s="16" t="inlineStr">
        <is>
          <t>BİLGİ İŞLEM</t>
        </is>
      </c>
      <c r="B18" s="17" t="n">
        <v>1</v>
      </c>
      <c r="C18" s="17" t="n">
        <v>0</v>
      </c>
      <c r="D18" s="40">
        <f>C18-B18</f>
        <v/>
      </c>
      <c r="E18" s="17" t="n">
        <v>0</v>
      </c>
      <c r="F18" s="17" t="n">
        <v>0</v>
      </c>
      <c r="G18" s="40">
        <f>F18-E18</f>
        <v/>
      </c>
      <c r="H18" s="17">
        <f>B18+E18</f>
        <v/>
      </c>
      <c r="I18" s="17">
        <f>C18+F18</f>
        <v/>
      </c>
      <c r="J18" s="40">
        <f>I18-H18</f>
        <v/>
      </c>
      <c r="K18" s="42">
        <f>IF(I18=0,"",F18/I18)</f>
        <v/>
      </c>
    </row>
    <row r="19">
      <c r="A19" s="16" t="inlineStr">
        <is>
          <t>KIYAFET</t>
        </is>
      </c>
      <c r="B19" s="17" t="n">
        <v>0</v>
      </c>
      <c r="C19" s="17" t="n">
        <v>0</v>
      </c>
      <c r="D19" s="40">
        <f>C19-B19</f>
        <v/>
      </c>
      <c r="E19" s="17" t="n">
        <v>3</v>
      </c>
      <c r="F19" s="17" t="n">
        <v>4</v>
      </c>
      <c r="G19" s="40">
        <f>F19-E19</f>
        <v/>
      </c>
      <c r="H19" s="17">
        <f>B19+E19</f>
        <v/>
      </c>
      <c r="I19" s="17">
        <f>C19+F19</f>
        <v/>
      </c>
      <c r="J19" s="40">
        <f>I19-H19</f>
        <v/>
      </c>
      <c r="K19" s="42">
        <f>IF(I19=0,"",F19/I19)</f>
        <v/>
      </c>
    </row>
    <row r="20">
      <c r="A20" s="36" t="inlineStr">
        <is>
          <t>TOPLAM</t>
        </is>
      </c>
      <c r="B20" s="21">
        <f>SUM(B4:B19)</f>
        <v/>
      </c>
      <c r="C20" s="21">
        <f>SUM(C4:C19)</f>
        <v/>
      </c>
      <c r="D20" s="30">
        <f>C20-B20</f>
        <v/>
      </c>
      <c r="E20" s="21">
        <f>SUM(E4:E19)</f>
        <v/>
      </c>
      <c r="F20" s="21">
        <f>SUM(F4:F19)</f>
        <v/>
      </c>
      <c r="G20" s="41">
        <f>F20-E20</f>
        <v/>
      </c>
      <c r="H20" s="21">
        <f>B20+E20</f>
        <v/>
      </c>
      <c r="I20" s="21">
        <f>C20+F20</f>
        <v/>
      </c>
      <c r="J20" s="41">
        <f>I20-H20</f>
        <v/>
      </c>
      <c r="K20" s="43">
        <f>IF(I20=0,"",F20/I20)</f>
        <v/>
      </c>
    </row>
    <row r="22">
      <c r="A22" s="32" t="inlineStr">
        <is>
          <t>OKUNACAK NOKTA: yonetim (MAGAZA departmani) ve MAL KABUL BUYUMEDI — artis satis/kasa tarafinda.</t>
        </is>
      </c>
    </row>
    <row r="23">
      <c r="A23" s="32" t="inlineStr">
        <is>
          <t>Sezonluk payi yuksek bolumler (KIRTASIYE, YARDIMCI KITAP, KIYAFET) sezon yuku tasiyan reyonlar;</t>
        </is>
      </c>
    </row>
    <row r="24">
      <c r="A24" s="32" t="inlineStr">
        <is>
          <t xml:space="preserve">   oradaki kisi artisi kalici kadro degil, Eylul sonunda tahliye edilir.</t>
        </is>
      </c>
    </row>
    <row r="25">
      <c r="A25" s="32" t="inlineStr">
        <is>
          <t>Bolum = Zirve 'Departman' alani (reyon). Bir kisi tek bolumde sayilir; toplam kapsam sayimiyla mutabik.</t>
        </is>
      </c>
    </row>
    <row r="26">
      <c r="A26" s="32" t="inlineStr">
        <is>
          <t>Devir (turnover) bolum bazinda AYRI olculdu: en bozuk COCUK %179 · IDARI ISLER %183 · KASA %160;</t>
        </is>
      </c>
    </row>
    <row r="27">
      <c r="A27" s="32" t="inlineStr">
        <is>
          <t xml:space="preserve">   MAGAZA (yonetim) %25 ve ayrilanin ortalama kidemi 4,7 yil -&gt; yonetim katmani stabil.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8" customWidth="1" min="2" max="2"/>
    <col width="12" customWidth="1" min="3" max="3"/>
    <col width="12" customWidth="1" min="4" max="4"/>
    <col width="9" customWidth="1" min="5" max="5"/>
    <col width="13" customWidth="1" min="6" max="6"/>
    <col width="13" customWidth="1" min="7" max="7"/>
    <col width="9" customWidth="1" min="8" max="8"/>
    <col width="14" customWidth="1" min="9" max="9"/>
    <col width="14" customWidth="1" min="10" max="10"/>
    <col width="12" customWidth="1" min="11" max="11"/>
    <col width="12" customWidth="1" min="12" max="12"/>
    <col width="11" customWidth="1" min="13" max="13"/>
  </cols>
  <sheetData>
    <row r="1">
      <c r="A1" s="12" t="inlineStr">
        <is>
          <t>Kategori büyümesi (okul-hizalı pencere VE Ocak-Ağustos) + o kategoriye bakan bölümün kadro değişimi</t>
        </is>
      </c>
    </row>
    <row r="3" ht="30" customHeight="1">
      <c r="A3" s="13" t="inlineStr">
        <is>
          <t>Kategori</t>
        </is>
      </c>
      <c r="B3" s="13" t="inlineStr">
        <is>
          <t>İlgili bölüm</t>
        </is>
      </c>
      <c r="C3" s="13" t="inlineStr">
        <is>
          <t>Adet 2025</t>
        </is>
      </c>
      <c r="D3" s="13" t="inlineStr">
        <is>
          <t>Adet 2026</t>
        </is>
      </c>
      <c r="E3" s="13" t="inlineStr">
        <is>
          <t>Adet Δ</t>
        </is>
      </c>
      <c r="F3" s="13" t="inlineStr">
        <is>
          <t>Ciro 2025 (M ₺)</t>
        </is>
      </c>
      <c r="G3" s="13" t="inlineStr">
        <is>
          <t>Ciro 2026 (M ₺)</t>
        </is>
      </c>
      <c r="H3" s="13" t="inlineStr">
        <is>
          <t>Ciro Δ</t>
        </is>
      </c>
      <c r="I3" s="13" t="inlineStr">
        <is>
          <t>Oca-Ağu adet 2025</t>
        </is>
      </c>
      <c r="J3" s="13" t="inlineStr">
        <is>
          <t>Oca-Ağu adet 2026</t>
        </is>
      </c>
      <c r="K3" s="13" t="inlineStr">
        <is>
          <t>Oca-Ağu adet Δ</t>
        </is>
      </c>
      <c r="L3" s="13" t="inlineStr">
        <is>
          <t>Oca-Ağu ciro Δ</t>
        </is>
      </c>
      <c r="M3" s="13" t="inlineStr">
        <is>
          <t>Bölüm kadro Δ</t>
        </is>
      </c>
    </row>
    <row r="4">
      <c r="A4" s="16" t="inlineStr">
        <is>
          <t>Kırtasiye</t>
        </is>
      </c>
      <c r="B4" s="16" t="inlineStr">
        <is>
          <t>KIRTASİYE</t>
        </is>
      </c>
      <c r="C4" s="17" t="n">
        <v>222233</v>
      </c>
      <c r="D4" s="17" t="n">
        <v>296797</v>
      </c>
      <c r="E4" s="44">
        <f>D4/C4-1</f>
        <v/>
      </c>
      <c r="F4" s="34" t="n">
        <v>18.50432496999892</v>
      </c>
      <c r="G4" s="34" t="n">
        <v>32.38086689999962</v>
      </c>
      <c r="H4" s="44">
        <f>G4/F4-1</f>
        <v/>
      </c>
      <c r="I4" s="17" t="n">
        <v>1069622.3</v>
      </c>
      <c r="J4" s="17" t="n">
        <v>1312972</v>
      </c>
      <c r="K4" s="19">
        <f>IF(OR(I4="—",J4="—"),"",J4/I4-1)</f>
        <v/>
      </c>
      <c r="L4" s="19" t="n">
        <v>0.3747245332273867</v>
      </c>
      <c r="M4" s="45" t="n">
        <v>3</v>
      </c>
    </row>
    <row r="5">
      <c r="A5" s="16" t="inlineStr">
        <is>
          <t>Çocuk Kitabı</t>
        </is>
      </c>
      <c r="B5" s="16" t="inlineStr">
        <is>
          <t>ÇOCUK</t>
        </is>
      </c>
      <c r="C5" s="17" t="n">
        <v>73247</v>
      </c>
      <c r="D5" s="17" t="n">
        <v>85696</v>
      </c>
      <c r="E5" s="44">
        <f>D5/C5-1</f>
        <v/>
      </c>
      <c r="F5" s="34" t="n">
        <v>10.02370843999997</v>
      </c>
      <c r="G5" s="34" t="n">
        <v>15.50422908999993</v>
      </c>
      <c r="H5" s="44">
        <f>G5/F5-1</f>
        <v/>
      </c>
      <c r="I5" s="17" t="n">
        <v>358316</v>
      </c>
      <c r="J5" s="17" t="n">
        <v>440372</v>
      </c>
      <c r="K5" s="19">
        <f>IF(OR(I5="—",J5="—"),"",J5/I5-1)</f>
        <v/>
      </c>
      <c r="L5" s="19" t="n">
        <v>0.5770282964720088</v>
      </c>
      <c r="M5" s="45" t="n">
        <v>-1</v>
      </c>
    </row>
    <row r="6">
      <c r="A6" s="16" t="inlineStr">
        <is>
          <t>Kitap</t>
        </is>
      </c>
      <c r="B6" s="16" t="inlineStr">
        <is>
          <t>KÜLTÜR</t>
        </is>
      </c>
      <c r="C6" s="17" t="n">
        <v>66399</v>
      </c>
      <c r="D6" s="17" t="n">
        <v>83655</v>
      </c>
      <c r="E6" s="44">
        <f>D6/C6-1</f>
        <v/>
      </c>
      <c r="F6" s="34" t="n">
        <v>14.49106599000013</v>
      </c>
      <c r="G6" s="34" t="n">
        <v>23.14058788999988</v>
      </c>
      <c r="H6" s="44">
        <f>G6/F6-1</f>
        <v/>
      </c>
      <c r="I6" s="17" t="n">
        <v>298822</v>
      </c>
      <c r="J6" s="17" t="n">
        <v>348758</v>
      </c>
      <c r="K6" s="19">
        <f>IF(OR(I6="—",J6="—"),"",J6/I6-1)</f>
        <v/>
      </c>
      <c r="L6" s="19" t="n">
        <v>0.4921459875659888</v>
      </c>
      <c r="M6" s="45" t="n">
        <v>1</v>
      </c>
    </row>
    <row r="7">
      <c r="A7" s="16" t="inlineStr">
        <is>
          <t>Genel</t>
        </is>
      </c>
      <c r="B7" s="16" t="inlineStr">
        <is>
          <t>—</t>
        </is>
      </c>
      <c r="C7" s="17" t="n">
        <v>50963.7</v>
      </c>
      <c r="D7" s="17" t="n">
        <v>65475.55</v>
      </c>
      <c r="E7" s="44">
        <f>D7/C7-1</f>
        <v/>
      </c>
      <c r="F7" s="34" t="n">
        <v>0.02740152</v>
      </c>
      <c r="G7" s="34" t="n">
        <v>0.07535017999999999</v>
      </c>
      <c r="H7" s="44">
        <f>G7/F7-1</f>
        <v/>
      </c>
      <c r="I7" s="17" t="n">
        <v>239529.74</v>
      </c>
      <c r="J7" s="17" t="n">
        <v>320282.91</v>
      </c>
      <c r="K7" s="19">
        <f>IF(OR(I7="—",J7="—"),"",J7/I7-1)</f>
        <v/>
      </c>
      <c r="L7" s="19" t="n">
        <v>1.797673394233623</v>
      </c>
      <c r="M7" s="40" t="inlineStr">
        <is>
          <t>—</t>
        </is>
      </c>
    </row>
    <row r="8">
      <c r="A8" s="16" t="inlineStr">
        <is>
          <t>Oyuncak</t>
        </is>
      </c>
      <c r="B8" s="16" t="inlineStr">
        <is>
          <t>OYUNCAK</t>
        </is>
      </c>
      <c r="C8" s="17" t="n">
        <v>37135</v>
      </c>
      <c r="D8" s="17" t="n">
        <v>58662</v>
      </c>
      <c r="E8" s="44">
        <f>D8/C8-1</f>
        <v/>
      </c>
      <c r="F8" s="34" t="n">
        <v>11.13631267999999</v>
      </c>
      <c r="G8" s="34" t="n">
        <v>16.74884971999999</v>
      </c>
      <c r="H8" s="44">
        <f>G8/F8-1</f>
        <v/>
      </c>
      <c r="I8" s="17" t="n">
        <v>208095</v>
      </c>
      <c r="J8" s="17" t="n">
        <v>302422</v>
      </c>
      <c r="K8" s="19">
        <f>IF(OR(I8="—",J8="—"),"",J8/I8-1)</f>
        <v/>
      </c>
      <c r="L8" s="19" t="n">
        <v>0.6655996445022585</v>
      </c>
      <c r="M8" s="45" t="n">
        <v>1</v>
      </c>
    </row>
    <row r="9">
      <c r="A9" s="16" t="inlineStr">
        <is>
          <t>Hediyelik</t>
        </is>
      </c>
      <c r="B9" s="16" t="inlineStr">
        <is>
          <t>KIRTASİYE / OYUNCAK</t>
        </is>
      </c>
      <c r="C9" s="17" t="n">
        <v>39836</v>
      </c>
      <c r="D9" s="17" t="n">
        <v>57747</v>
      </c>
      <c r="E9" s="44">
        <f>D9/C9-1</f>
        <v/>
      </c>
      <c r="F9" s="34" t="n">
        <v>1.475290259999999</v>
      </c>
      <c r="G9" s="34" t="n">
        <v>2.616103029999999</v>
      </c>
      <c r="H9" s="44">
        <f>G9/F9-1</f>
        <v/>
      </c>
      <c r="I9" s="17" t="n">
        <v>147554</v>
      </c>
      <c r="J9" s="17" t="n">
        <v>295058</v>
      </c>
      <c r="K9" s="19">
        <f>IF(OR(I9="—",J9="—"),"",J9/I9-1)</f>
        <v/>
      </c>
      <c r="L9" s="19" t="n">
        <v>1.258006023303309</v>
      </c>
      <c r="M9" s="40" t="inlineStr">
        <is>
          <t>—</t>
        </is>
      </c>
    </row>
    <row r="10">
      <c r="A10" s="16" t="inlineStr">
        <is>
          <t>Hazırlık Kitapları</t>
        </is>
      </c>
      <c r="B10" s="16" t="inlineStr">
        <is>
          <t>YARDIMCI KİTAP</t>
        </is>
      </c>
      <c r="C10" s="17" t="n">
        <v>38785</v>
      </c>
      <c r="D10" s="17" t="n">
        <v>53872</v>
      </c>
      <c r="E10" s="44">
        <f>D10/C10-1</f>
        <v/>
      </c>
      <c r="F10" s="34" t="n">
        <v>11.64473919000002</v>
      </c>
      <c r="G10" s="34" t="n">
        <v>22.29073934</v>
      </c>
      <c r="H10" s="44">
        <f>G10/F10-1</f>
        <v/>
      </c>
      <c r="I10" s="17" t="n">
        <v>218692</v>
      </c>
      <c r="J10" s="17" t="n">
        <v>266398</v>
      </c>
      <c r="K10" s="19">
        <f>IF(OR(I10="—",J10="—"),"",J10/I10-1)</f>
        <v/>
      </c>
      <c r="L10" s="19" t="n">
        <v>0.463194021611737</v>
      </c>
      <c r="M10" s="45" t="n">
        <v>6</v>
      </c>
    </row>
    <row r="11">
      <c r="A11" s="16" t="inlineStr">
        <is>
          <t>Gıda</t>
        </is>
      </c>
      <c r="B11" s="16" t="inlineStr">
        <is>
          <t>KAFE / GIDA</t>
        </is>
      </c>
      <c r="C11" s="17" t="n">
        <v>23729</v>
      </c>
      <c r="D11" s="17" t="n">
        <v>30608</v>
      </c>
      <c r="E11" s="44">
        <f>D11/C11-1</f>
        <v/>
      </c>
      <c r="F11" s="34" t="n">
        <v>0.6921173300000001</v>
      </c>
      <c r="G11" s="34" t="n">
        <v>1.187673779999999</v>
      </c>
      <c r="H11" s="44">
        <f>G11/F11-1</f>
        <v/>
      </c>
      <c r="I11" s="17" t="n">
        <v>115494</v>
      </c>
      <c r="J11" s="17" t="n">
        <v>138337</v>
      </c>
      <c r="K11" s="19">
        <f>IF(OR(I11="—",J11="—"),"",J11/I11-1)</f>
        <v/>
      </c>
      <c r="L11" s="19" t="n">
        <v>0.4636366398909308</v>
      </c>
      <c r="M11" s="40" t="inlineStr">
        <is>
          <t>—</t>
        </is>
      </c>
    </row>
    <row r="12">
      <c r="A12" s="16" t="inlineStr">
        <is>
          <t>Akademi</t>
        </is>
      </c>
      <c r="B12" s="16" t="inlineStr">
        <is>
          <t>AKADEMİ</t>
        </is>
      </c>
      <c r="C12" s="17" t="n">
        <v>7328</v>
      </c>
      <c r="D12" s="17" t="n">
        <v>24841</v>
      </c>
      <c r="E12" s="44">
        <f>D12/C12-1</f>
        <v/>
      </c>
      <c r="F12" s="34" t="n">
        <v>1.94214225</v>
      </c>
      <c r="G12" s="34" t="n">
        <v>6.643827520000004</v>
      </c>
      <c r="H12" s="44">
        <f>G12/F12-1</f>
        <v/>
      </c>
      <c r="I12" s="17" t="n">
        <v>31118</v>
      </c>
      <c r="J12" s="17" t="n">
        <v>78701</v>
      </c>
      <c r="K12" s="19">
        <f>IF(OR(I12="—",J12="—"),"",J12/I12-1)</f>
        <v/>
      </c>
      <c r="L12" s="19" t="n">
        <v>1.769093453522602</v>
      </c>
      <c r="M12" s="45" t="n">
        <v>2</v>
      </c>
    </row>
    <row r="13">
      <c r="A13" s="16" t="inlineStr">
        <is>
          <t>Kişisel Bakım</t>
        </is>
      </c>
      <c r="B13" s="16" t="inlineStr">
        <is>
          <t>—</t>
        </is>
      </c>
      <c r="C13" s="17" t="n">
        <v>4249</v>
      </c>
      <c r="D13" s="17" t="n">
        <v>9191</v>
      </c>
      <c r="E13" s="44">
        <f>D13/C13-1</f>
        <v/>
      </c>
      <c r="F13" s="34" t="n">
        <v>0.2846255699999999</v>
      </c>
      <c r="G13" s="34" t="n">
        <v>0.42036219</v>
      </c>
      <c r="H13" s="44">
        <f>G13/F13-1</f>
        <v/>
      </c>
      <c r="I13" s="17" t="n">
        <v>19711</v>
      </c>
      <c r="J13" s="17" t="n">
        <v>46133</v>
      </c>
      <c r="K13" s="19">
        <f>IF(OR(I13="—",J13="—"),"",J13/I13-1)</f>
        <v/>
      </c>
      <c r="L13" s="19" t="n">
        <v>0.5224217348514226</v>
      </c>
      <c r="M13" s="40" t="inlineStr">
        <is>
          <t>—</t>
        </is>
      </c>
    </row>
    <row r="14">
      <c r="A14" s="16" t="inlineStr">
        <is>
          <t>Elektronik</t>
        </is>
      </c>
      <c r="B14" s="16" t="inlineStr">
        <is>
          <t>—</t>
        </is>
      </c>
      <c r="C14" s="17" t="n">
        <v>7873</v>
      </c>
      <c r="D14" s="17" t="n">
        <v>5015</v>
      </c>
      <c r="E14" s="44">
        <f>D14/C14-1</f>
        <v/>
      </c>
      <c r="F14" s="34" t="n">
        <v>1.25765595</v>
      </c>
      <c r="G14" s="34" t="n">
        <v>0.9961937399999999</v>
      </c>
      <c r="H14" s="44">
        <f>G14/F14-1</f>
        <v/>
      </c>
      <c r="I14" s="17" t="n">
        <v>21609</v>
      </c>
      <c r="J14" s="17" t="n">
        <v>24495</v>
      </c>
      <c r="K14" s="19">
        <f>IF(OR(I14="—",J14="—"),"",J14/I14-1)</f>
        <v/>
      </c>
      <c r="L14" s="19" t="n">
        <v>0.4008427609025698</v>
      </c>
      <c r="M14" s="40" t="inlineStr">
        <is>
          <t>—</t>
        </is>
      </c>
    </row>
    <row r="15">
      <c r="A15" s="16" t="inlineStr">
        <is>
          <t>Dergi</t>
        </is>
      </c>
      <c r="B15" s="16" t="inlineStr">
        <is>
          <t>—</t>
        </is>
      </c>
      <c r="C15" s="17" t="n">
        <v>2570</v>
      </c>
      <c r="D15" s="17" t="n">
        <v>2440</v>
      </c>
      <c r="E15" s="44">
        <f>D15/C15-1</f>
        <v/>
      </c>
      <c r="F15" s="34" t="n">
        <v>0.2656298400000001</v>
      </c>
      <c r="G15" s="34" t="n">
        <v>0.37848582</v>
      </c>
      <c r="H15" s="44">
        <f>G15/F15-1</f>
        <v/>
      </c>
      <c r="I15" s="17" t="n">
        <v>12790</v>
      </c>
      <c r="J15" s="17" t="n">
        <v>13387</v>
      </c>
      <c r="K15" s="19">
        <f>IF(OR(I15="—",J15="—"),"",J15/I15-1)</f>
        <v/>
      </c>
      <c r="L15" s="19" t="n">
        <v>0.4999858989104877</v>
      </c>
      <c r="M15" s="40" t="inlineStr">
        <is>
          <t>—</t>
        </is>
      </c>
    </row>
    <row r="16">
      <c r="A16" s="36" t="inlineStr">
        <is>
          <t>TOPLAM</t>
        </is>
      </c>
      <c r="B16" s="46" t="n"/>
      <c r="C16" s="21">
        <f>SUM(C4:C15)</f>
        <v/>
      </c>
      <c r="D16" s="21">
        <f>SUM(D4:D15)</f>
        <v/>
      </c>
      <c r="E16" s="37">
        <f>D16/C16-1</f>
        <v/>
      </c>
      <c r="F16" s="38">
        <f>SUM(F4:F15)</f>
        <v/>
      </c>
      <c r="G16" s="38">
        <f>SUM(G4:G15)</f>
        <v/>
      </c>
      <c r="H16" s="37">
        <f>G16/F16-1</f>
        <v/>
      </c>
      <c r="I16" s="21">
        <f>SUM(I4:I15)</f>
        <v/>
      </c>
      <c r="J16" s="21">
        <f>SUM(J4:J15)</f>
        <v/>
      </c>
      <c r="K16" s="37">
        <f>J16/I16-1</f>
        <v/>
      </c>
    </row>
    <row r="18">
      <c r="A18" s="32" t="inlineStr">
        <is>
          <t>IKI PENCERE: sol blok OKUL-HIZALI pencere (sezon kiyasi), sag blok OCAK-AGUSTOS kumulatif (yil geneli).</t>
        </is>
      </c>
    </row>
    <row r="19">
      <c r="A19" s="32" t="inlineStr">
        <is>
          <t>ESLESME: kategori (urun) -&gt; o urune bakan reyon (bolum). Kadro Δ o BOLUMUN kadrolu degisimidir.</t>
        </is>
      </c>
    </row>
    <row r="20">
      <c r="A20" s="32" t="inlineStr">
        <is>
          <t>OKUNACAK: kadro artisi en hizli buyuyen kategorilere gitti (Hazirlik Kitaplari, Kirtasiye, Akademi);</t>
        </is>
      </c>
    </row>
    <row r="21">
      <c r="A21" s="32" t="inlineStr">
        <is>
          <t xml:space="preserve">   en yavas buyuyen kategoride (Cocuk Kitabi) kadro AZALTILDI. Yani alim rastgele degil.</t>
        </is>
      </c>
    </row>
    <row r="22">
      <c r="A22" s="32" t="inlineStr">
        <is>
          <t>Kapsam: uc POS magazasi, okul-hizali pencere, Sinav haric, KDV dahil, iadeler dusulmus.</t>
        </is>
      </c>
    </row>
    <row r="23">
      <c r="A23" s="32" t="inlineStr">
        <is>
          <t>Toplam satiri yalniz bu tablodaki kategorilerin toplami (adet&gt;=2000 esigi altindaki kuyruk haric).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0" customWidth="1" min="4" max="4"/>
    <col width="14" customWidth="1" min="5" max="5"/>
    <col width="14" customWidth="1" min="6" max="6"/>
    <col width="10" customWidth="1" min="7" max="7"/>
  </cols>
  <sheetData>
    <row r="1">
      <c r="A1" s="12" t="inlineStr">
        <is>
          <t>Aylık seyir — takvim ayı (üç POS mağazası, Sınav hariç, KDV dahil)</t>
        </is>
      </c>
    </row>
    <row r="3" ht="30" customHeight="1">
      <c r="A3" s="13" t="inlineStr">
        <is>
          <t>Ay</t>
        </is>
      </c>
      <c r="B3" s="13" t="inlineStr">
        <is>
          <t>Adet 2025</t>
        </is>
      </c>
      <c r="C3" s="13" t="inlineStr">
        <is>
          <t>Adet 2026</t>
        </is>
      </c>
      <c r="D3" s="13" t="inlineStr">
        <is>
          <t>Adet Δ</t>
        </is>
      </c>
      <c r="E3" s="13" t="inlineStr">
        <is>
          <t>Ciro 2025 (M ₺)</t>
        </is>
      </c>
      <c r="F3" s="13" t="inlineStr">
        <is>
          <t>Ciro 2026 (M ₺)</t>
        </is>
      </c>
      <c r="G3" s="13" t="inlineStr">
        <is>
          <t>Ciro Δ</t>
        </is>
      </c>
    </row>
    <row r="4">
      <c r="A4" s="16" t="inlineStr">
        <is>
          <t>Haziran</t>
        </is>
      </c>
      <c r="B4" s="17" t="n">
        <v>286587.64</v>
      </c>
      <c r="C4" s="17" t="n">
        <v>376252</v>
      </c>
      <c r="D4" s="44">
        <f>C4/B4-1</f>
        <v/>
      </c>
      <c r="E4" s="34" t="n">
        <v>33.37095815999885</v>
      </c>
      <c r="F4" s="34" t="n">
        <v>49.92745519999963</v>
      </c>
      <c r="G4" s="44">
        <f>F4/E4-1</f>
        <v/>
      </c>
    </row>
    <row r="5">
      <c r="A5" s="16" t="inlineStr">
        <is>
          <t>Temmuz</t>
        </is>
      </c>
      <c r="B5" s="17" t="n">
        <v>269478</v>
      </c>
      <c r="C5" s="17" t="n">
        <v>367352</v>
      </c>
      <c r="D5" s="44">
        <f>C5/B5-1</f>
        <v/>
      </c>
      <c r="E5" s="34" t="n">
        <v>32.14602050999883</v>
      </c>
      <c r="F5" s="34" t="n">
        <v>55.81900908999954</v>
      </c>
      <c r="G5" s="44">
        <f>F5/E5-1</f>
        <v/>
      </c>
    </row>
    <row r="6">
      <c r="A6" s="16" t="inlineStr">
        <is>
          <t>Ağustos</t>
        </is>
      </c>
      <c r="B6" s="17" t="n">
        <v>458258.7</v>
      </c>
      <c r="C6" s="17" t="n">
        <v>483499.55</v>
      </c>
      <c r="D6" s="44">
        <f>C6/B6-1</f>
        <v/>
      </c>
      <c r="E6" s="34" t="n">
        <v>61.26123198000229</v>
      </c>
      <c r="F6" s="34" t="n">
        <v>78.08621144000016</v>
      </c>
      <c r="G6" s="44">
        <f>F6/E6-1</f>
        <v/>
      </c>
    </row>
    <row r="7">
      <c r="A7" s="36" t="inlineStr">
        <is>
          <t>TOPLAM</t>
        </is>
      </c>
      <c r="B7" s="21">
        <f>SUM(B4:B6)</f>
        <v/>
      </c>
      <c r="C7" s="21">
        <f>SUM(C4:C6)</f>
        <v/>
      </c>
      <c r="D7" s="37">
        <f>C7/B7-1</f>
        <v/>
      </c>
      <c r="E7" s="38">
        <f>SUM(E4:E6)</f>
        <v/>
      </c>
      <c r="F7" s="38">
        <f>SUM(F4:F6)</f>
        <v/>
      </c>
      <c r="G7" s="37">
        <f>F7/E7-1</f>
        <v/>
      </c>
    </row>
    <row r="9">
      <c r="A9" s="47" t="inlineStr">
        <is>
          <t>OKUL KAYMASI DÜZELTMESİ</t>
        </is>
      </c>
    </row>
    <row r="10">
      <c r="A10" s="16" t="inlineStr">
        <is>
          <t>Hizalı pencere (aynı talep gününe denk gelen günler)</t>
        </is>
      </c>
      <c r="B10" s="16" t="inlineStr">
        <is>
          <t>01.08 – 27.08.2025  vs  07.08 – 02.09.2026  (27 gün)</t>
        </is>
      </c>
      <c r="C10" s="48" t="n"/>
      <c r="D10" s="48" t="n"/>
      <c r="E10" s="48" t="n"/>
      <c r="F10" s="48" t="n"/>
      <c r="G10" s="49" t="n"/>
    </row>
    <row r="11">
      <c r="A11" s="16" t="inlineStr">
        <is>
          <t>Hizalı pencerede büyüme</t>
        </is>
      </c>
      <c r="B11" s="16" t="inlineStr">
        <is>
          <t>adet +%34.2 · ciro +%66.0</t>
        </is>
      </c>
      <c r="C11" s="48" t="n"/>
      <c r="D11" s="48" t="n"/>
      <c r="E11" s="48" t="n"/>
      <c r="F11" s="48" t="n"/>
      <c r="G11" s="49" t="n"/>
    </row>
    <row r="12">
      <c r="A12" s="16" t="inlineStr">
        <is>
          <t>Ağustos 2025 (gerçek)</t>
        </is>
      </c>
      <c r="B12" s="16" t="inlineStr">
        <is>
          <t>458.259 adet · 61.3 M TL</t>
        </is>
      </c>
      <c r="C12" s="48" t="n"/>
      <c r="D12" s="48" t="n"/>
      <c r="E12" s="48" t="n"/>
      <c r="F12" s="48" t="n"/>
      <c r="G12" s="49" t="n"/>
    </row>
    <row r="13">
      <c r="A13" s="16" t="inlineStr">
        <is>
          <t>Ağustos 2026 (gerçek)</t>
        </is>
      </c>
      <c r="B13" s="16" t="inlineStr">
        <is>
          <t>483.500 adet · 78.1 M TL  (adet +%5.5)</t>
        </is>
      </c>
      <c r="C13" s="48" t="n"/>
      <c r="D13" s="48" t="n"/>
      <c r="E13" s="48" t="n"/>
      <c r="F13" s="48" t="n"/>
      <c r="G13" s="49" t="n"/>
    </row>
    <row r="14">
      <c r="A14" s="50" t="inlineStr">
        <is>
          <t>Ağustos 2026 — KAYMA OLMASAYDI (tahmin)</t>
        </is>
      </c>
      <c r="B14" s="51" t="inlineStr">
        <is>
          <t>614.956 adet · 101.7 M TL</t>
        </is>
      </c>
      <c r="C14" s="48" t="n"/>
      <c r="D14" s="48" t="n"/>
      <c r="E14" s="48" t="n"/>
      <c r="F14" s="48" t="n"/>
      <c r="G14" s="49" t="n"/>
    </row>
    <row r="15">
      <c r="A15" s="50" t="inlineStr">
        <is>
          <t>EYLÜL'E KAYAN (tahmin)</t>
        </is>
      </c>
      <c r="B15" s="51" t="inlineStr">
        <is>
          <t>131.456 adet · 23.6 M TL</t>
        </is>
      </c>
      <c r="C15" s="48" t="n"/>
      <c r="D15" s="48" t="n"/>
      <c r="E15" s="48" t="n"/>
      <c r="F15" s="48" t="n"/>
      <c r="G15" s="49" t="n"/>
    </row>
    <row r="16">
      <c r="A16" s="16" t="inlineStr">
        <is>
          <t>Okul öncesi dalga — 2025 gerçekleşen (28.08 - 07.09.2025)</t>
        </is>
      </c>
      <c r="B16" s="16" t="inlineStr">
        <is>
          <t>412.212 adet · 54.1 M TL</t>
        </is>
      </c>
      <c r="C16" s="48" t="n"/>
      <c r="D16" s="48" t="n"/>
      <c r="E16" s="48" t="n"/>
      <c r="F16" s="48" t="n"/>
      <c r="G16" s="49" t="n"/>
    </row>
    <row r="17">
      <c r="A17" s="50" t="inlineStr">
        <is>
          <t>Okul öncesi dalga — 2026 beklenen (03.09 - 13.09.2026)</t>
        </is>
      </c>
      <c r="B17" s="51" t="inlineStr">
        <is>
          <t>553.164 adet · 89.8 M TL</t>
        </is>
      </c>
      <c r="C17" s="48" t="n"/>
      <c r="D17" s="48" t="n"/>
      <c r="E17" s="48" t="n"/>
      <c r="F17" s="48" t="n"/>
      <c r="G17" s="49" t="n"/>
    </row>
    <row r="19" ht="42" customHeight="1">
      <c r="A19" s="11" t="inlineStr">
        <is>
          <t>Yöntem: 2026 günleri 2025'in 6 gün öncesine denk gelir (açılış 08.09.2025 → 14.09.2026). Hizalı 27 günde ölçülen büyüme (adet %34.2 · ciro %66.0) 2025 Ağustos toplamına uygulanarak kayma-arındırılmış Ağustos bulunur. VARSAYIM: talep kaybı yok, yalnız zamanlama kaydı. Bugünün verisi HARİÇ (eTip 100 gün içinde yeniden yazılır); son tam gün 02.09.2026.</t>
        </is>
      </c>
    </row>
    <row r="22">
      <c r="A22" s="32" t="inlineStr">
        <is>
          <t>AGUSTOS NEDEN ZAYIF GORUNUYOR: okullar 2025'te 8 Eylul, 2026'da 14 Eylul acildi (6 gun kayma).</t>
        </is>
      </c>
    </row>
    <row r="23">
      <c r="A23" s="32" t="inlineStr">
        <is>
          <t xml:space="preserve">   2025'in son-Agustos alis dalgasi 2026'da EYLUL'e kaydi -&gt; takvim ayi kiyasinda Agustos dusuk cikar.</t>
        </is>
      </c>
    </row>
    <row r="24">
      <c r="A24" s="32" t="inlineStr">
        <is>
          <t xml:space="preserve">   Temmuz +%36,3 adet, Agustos +%5,5 adet: fark talep kaybi degil, TAKVIM.</t>
        </is>
      </c>
    </row>
    <row r="25">
      <c r="A25" s="32" t="inlineStr">
        <is>
          <t>Dogru kiyas okul-acilisina hizali penceredir (Ozet sayfasi): adet +%34,9 · ciro +%70,7.</t>
        </is>
      </c>
    </row>
    <row r="26">
      <c r="A26" s="32" t="inlineStr">
        <is>
          <t>Bu sayfa 'ay ay ne oldu' sorusunun cevabidir; kadro kiyasinda hizali pencere kullanilir.</t>
        </is>
      </c>
    </row>
  </sheetData>
  <mergeCells count="9">
    <mergeCell ref="B16:G16"/>
    <mergeCell ref="B10:G10"/>
    <mergeCell ref="B14:G14"/>
    <mergeCell ref="B17:G17"/>
    <mergeCell ref="B12:G12"/>
    <mergeCell ref="B13:G13"/>
    <mergeCell ref="A19:G19"/>
    <mergeCell ref="B15:G15"/>
    <mergeCell ref="B11:G1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6" customWidth="1" min="3" max="3"/>
    <col width="12" customWidth="1" min="4" max="4"/>
    <col width="13" customWidth="1" min="5" max="5"/>
  </cols>
  <sheetData>
    <row r="1">
      <c r="A1" s="12" t="inlineStr">
        <is>
          <t>Kisi basi is — 4 yillik trend (uc POS magazasi, Ocak-Agustos kumulatif, Sinav haric)</t>
        </is>
      </c>
    </row>
    <row r="3" ht="30" customHeight="1">
      <c r="A3" s="13" t="inlineStr">
        <is>
          <t>Yil</t>
        </is>
      </c>
      <c r="B3" s="13" t="inlineStr">
        <is>
          <t>Kadrolu (31.08)</t>
        </is>
      </c>
      <c r="C3" s="13" t="inlineStr">
        <is>
          <t>Urun adedi (Oca-Agu)</t>
        </is>
      </c>
      <c r="D3" s="13" t="inlineStr">
        <is>
          <t>Adet / kisi</t>
        </is>
      </c>
      <c r="E3" s="13" t="inlineStr">
        <is>
          <t>Onceki yila gore</t>
        </is>
      </c>
    </row>
    <row r="4">
      <c r="A4" s="16" t="n">
        <v>2023</v>
      </c>
      <c r="B4" s="17" t="n">
        <v>60</v>
      </c>
      <c r="C4" s="17" t="n">
        <v>2062663.43</v>
      </c>
      <c r="D4" s="52">
        <f>C4/B4</f>
        <v/>
      </c>
      <c r="E4" s="16" t="inlineStr">
        <is>
          <t>—</t>
        </is>
      </c>
    </row>
    <row r="5">
      <c r="A5" s="16" t="n">
        <v>2024</v>
      </c>
      <c r="B5" s="17" t="n">
        <v>91</v>
      </c>
      <c r="C5" s="17" t="n">
        <v>2295719.43</v>
      </c>
      <c r="D5" s="52">
        <f>C5/B5</f>
        <v/>
      </c>
      <c r="E5" s="19">
        <f>D5/D4-1</f>
        <v/>
      </c>
    </row>
    <row r="6">
      <c r="A6" s="16" t="n">
        <v>2025</v>
      </c>
      <c r="B6" s="17" t="n">
        <v>96</v>
      </c>
      <c r="C6" s="17" t="n">
        <v>2752131.04</v>
      </c>
      <c r="D6" s="52">
        <f>C6/B6</f>
        <v/>
      </c>
      <c r="E6" s="19">
        <f>D6/D5-1</f>
        <v/>
      </c>
    </row>
    <row r="7">
      <c r="A7" s="16" t="n">
        <v>2026</v>
      </c>
      <c r="B7" s="17" t="n">
        <v>111</v>
      </c>
      <c r="C7" s="17" t="n">
        <v>3607142.91</v>
      </c>
      <c r="D7" s="52">
        <f>C7/B7</f>
        <v/>
      </c>
      <c r="E7" s="19">
        <f>D7/D6-1</f>
        <v/>
      </c>
    </row>
    <row r="9">
      <c r="A9" s="32" t="inlineStr">
        <is>
          <t>2024 ATLAMASI: kadrolu 60 -&gt; 91, adet yalniz +%11 -&gt; kisi basi is -%27. Kadro sismesi 2024'te oldu.</t>
        </is>
      </c>
    </row>
    <row r="10">
      <c r="A10" s="32" t="inlineStr">
        <is>
          <t>AMA 2023 verimliligi 'norm' DEGIL: 2023'te FSM kasada 0 kisi, Ozluce kasada 1 kisi vardi (eksik kadroyla calisma).</t>
        </is>
      </c>
    </row>
    <row r="11">
      <c r="A11" s="32" t="inlineStr">
        <is>
          <t>2024 -&gt; 2026: kisi basi is +%28,8 toparlanma. Bu yil kadro +15 kisi buyurken kisi basi is de artti.</t>
        </is>
      </c>
    </row>
    <row r="12">
      <c r="A12" s="32" t="inlineStr">
        <is>
          <t>Bu sayfada kadro yalniz KADROLU (sezonluk haric) — yillar arasi sezonluk tahliye zamanlamasi kiyasi bozuyor.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0" customWidth="1" min="4" max="4"/>
    <col width="17" customWidth="1" min="5" max="5"/>
    <col width="17" customWidth="1" min="6" max="6"/>
    <col width="10" customWidth="1" min="7" max="7"/>
  </cols>
  <sheetData>
    <row r="1">
      <c r="A1" s="12" t="inlineStr">
        <is>
          <t>"Buyume kurumsaldan geldi" itirazinin cevabi — Ocak-Agustos, uc POS magazasi</t>
        </is>
      </c>
    </row>
    <row r="3" ht="30" customHeight="1">
      <c r="A3" s="13" t="inlineStr">
        <is>
          <t>Kanal</t>
        </is>
      </c>
      <c r="B3" s="13" t="inlineStr">
        <is>
          <t>Adet 2025</t>
        </is>
      </c>
      <c r="C3" s="13" t="inlineStr">
        <is>
          <t>Adet 2026</t>
        </is>
      </c>
      <c r="D3" s="13" t="inlineStr">
        <is>
          <t>Adet Δ%</t>
        </is>
      </c>
      <c r="E3" s="13" t="inlineStr">
        <is>
          <t>Ciro 2025 (KDV dahil)</t>
        </is>
      </c>
      <c r="F3" s="13" t="inlineStr">
        <is>
          <t>Ciro 2026 (KDV dahil)</t>
        </is>
      </c>
      <c r="G3" s="13" t="inlineStr">
        <is>
          <t>Ciro Δ%</t>
        </is>
      </c>
    </row>
    <row r="4">
      <c r="A4" s="16" t="inlineStr">
        <is>
          <t>Magaza (perakende raf)</t>
        </is>
      </c>
      <c r="B4" s="17" t="n">
        <v>2752131.04</v>
      </c>
      <c r="C4" s="17" t="n">
        <v>3607142.91</v>
      </c>
      <c r="D4" s="19">
        <f>C4/B4-1</f>
        <v/>
      </c>
      <c r="E4" s="17" t="n">
        <v>315972605.8798291</v>
      </c>
      <c r="F4" s="17" t="n">
        <v>489364071.8499225</v>
      </c>
      <c r="G4" s="19">
        <f>F4/E4-1</f>
        <v/>
      </c>
    </row>
    <row r="5">
      <c r="A5" s="16" t="inlineStr">
        <is>
          <t>Sinav Okullari (kurumsal)</t>
        </is>
      </c>
      <c r="B5" s="17" t="n">
        <v>33838</v>
      </c>
      <c r="C5" s="17" t="n">
        <v>21859</v>
      </c>
      <c r="D5" s="19">
        <f>C5/B5-1</f>
        <v/>
      </c>
      <c r="E5" s="17" t="n">
        <v>136195263.79</v>
      </c>
      <c r="F5" s="17" t="n">
        <v>105644862.04</v>
      </c>
      <c r="G5" s="19">
        <f>F5/E5-1</f>
        <v/>
      </c>
    </row>
    <row r="6">
      <c r="A6" s="36" t="inlineStr">
        <is>
          <t>TOPLAM</t>
        </is>
      </c>
      <c r="B6" s="21">
        <f>SUM(B4:B5)</f>
        <v/>
      </c>
      <c r="C6" s="21">
        <f>SUM(C4:C5)</f>
        <v/>
      </c>
      <c r="D6" s="37">
        <f>C6/B6-1</f>
        <v/>
      </c>
      <c r="E6" s="21">
        <f>SUM(E4:E5)</f>
        <v/>
      </c>
      <c r="F6" s="21">
        <f>SUM(F4:F5)</f>
        <v/>
      </c>
      <c r="G6" s="37">
        <f>F6/E6-1</f>
        <v/>
      </c>
    </row>
    <row r="8">
      <c r="A8" s="32" t="inlineStr">
        <is>
          <t>Sinav Okullari KUCULDU (adet -%35, ciro -%22). Buyumenin tamami magaza rafindan geldi.</t>
        </is>
      </c>
    </row>
    <row r="9">
      <c r="A9" s="32" t="inlineStr">
        <is>
          <t>Magaza tarafi kurumsal dususu de kapatti: toplam yine buyudu.</t>
        </is>
      </c>
    </row>
    <row r="10">
      <c r="A10" s="32" t="inlineStr">
        <is>
          <t>Sinav = Kategori3 'Sinav Okullari' + 'Sinav Kiyafet'; ayni POS belgesi icinde geldigi icin AYIKLANMASI zorunlu.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5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</cols>
  <sheetData>
    <row r="1">
      <c r="A1" s="12" t="inlineStr">
        <is>
          <t>Norm kadro (11.08.2026, sezon dışı) ile gerçek kadrolu karşılaştırması</t>
        </is>
      </c>
    </row>
    <row r="3" ht="30" customHeight="1">
      <c r="A3" s="13" t="inlineStr">
        <is>
          <t>Mağaza / Grup</t>
        </is>
      </c>
      <c r="B3" s="13" t="inlineStr">
        <is>
          <t>Norm kadrolu</t>
        </is>
      </c>
      <c r="C3" s="13" t="inlineStr">
        <is>
          <t>Operasyonel kadrolu</t>
        </is>
      </c>
      <c r="D3" s="13" t="inlineStr">
        <is>
          <t>Kadrolu farkı</t>
        </is>
      </c>
      <c r="E3" s="13" t="inlineStr">
        <is>
          <t>Norm sezonluk</t>
        </is>
      </c>
      <c r="F3" s="13" t="inlineStr">
        <is>
          <t>Sezonluk 31.08</t>
        </is>
      </c>
      <c r="G3" s="13" t="inlineStr">
        <is>
          <t>Sezonluk farkı</t>
        </is>
      </c>
      <c r="H3" s="13" t="inlineStr">
        <is>
          <t>NORM TOPLAM</t>
        </is>
      </c>
      <c r="I3" s="13" t="inlineStr">
        <is>
          <t>GERÇEK TOPLAM</t>
        </is>
      </c>
      <c r="J3" s="13" t="inlineStr">
        <is>
          <t>TOPLAM FARK</t>
        </is>
      </c>
    </row>
    <row r="4">
      <c r="A4" s="16" t="inlineStr">
        <is>
          <t>Özlüce</t>
        </is>
      </c>
      <c r="B4" s="17" t="n">
        <v>45</v>
      </c>
      <c r="C4" s="17" t="n">
        <v>40</v>
      </c>
      <c r="D4" s="53">
        <f>C4-B4</f>
        <v/>
      </c>
      <c r="E4" s="17" t="n">
        <v>17</v>
      </c>
      <c r="F4" s="17" t="n">
        <v>13</v>
      </c>
      <c r="G4" s="53">
        <f>F4-E4</f>
        <v/>
      </c>
      <c r="H4" s="17" t="n">
        <v>62</v>
      </c>
      <c r="I4" s="17" t="n">
        <v>53</v>
      </c>
      <c r="J4" s="30">
        <f>I4-H4</f>
        <v/>
      </c>
    </row>
    <row r="5">
      <c r="A5" s="16" t="inlineStr">
        <is>
          <t>Fsm</t>
        </is>
      </c>
      <c r="B5" s="17" t="n">
        <v>37</v>
      </c>
      <c r="C5" s="17" t="n">
        <v>32</v>
      </c>
      <c r="D5" s="53">
        <f>C5-B5</f>
        <v/>
      </c>
      <c r="E5" s="17" t="n">
        <v>10</v>
      </c>
      <c r="F5" s="17" t="n">
        <v>11</v>
      </c>
      <c r="G5" s="53">
        <f>F5-E5</f>
        <v/>
      </c>
      <c r="H5" s="17" t="n">
        <v>47</v>
      </c>
      <c r="I5" s="17" t="n">
        <v>43</v>
      </c>
      <c r="J5" s="30">
        <f>I5-H5</f>
        <v/>
      </c>
    </row>
    <row r="6">
      <c r="A6" s="16" t="inlineStr">
        <is>
          <t>İst. Yolu</t>
        </is>
      </c>
      <c r="B6" s="17" t="n">
        <v>33</v>
      </c>
      <c r="C6" s="17" t="n">
        <v>33</v>
      </c>
      <c r="D6" s="53">
        <f>C6-B6</f>
        <v/>
      </c>
      <c r="E6" s="17" t="n">
        <v>25</v>
      </c>
      <c r="F6" s="17" t="n">
        <v>25</v>
      </c>
      <c r="G6" s="53">
        <f>F6-E6</f>
        <v/>
      </c>
      <c r="H6" s="17" t="n">
        <v>58</v>
      </c>
      <c r="I6" s="17" t="n">
        <v>58</v>
      </c>
      <c r="J6" s="30">
        <f>I6-H6</f>
        <v/>
      </c>
    </row>
    <row r="7">
      <c r="A7" s="16" t="inlineStr">
        <is>
          <t>Heykel</t>
        </is>
      </c>
      <c r="B7" s="17" t="n">
        <v>30</v>
      </c>
      <c r="C7" s="17" t="n">
        <v>26</v>
      </c>
      <c r="D7" s="53">
        <f>C7-B7</f>
        <v/>
      </c>
      <c r="E7" s="17" t="n">
        <v>20</v>
      </c>
      <c r="F7" s="17" t="n">
        <v>9</v>
      </c>
      <c r="G7" s="53">
        <f>F7-E7</f>
        <v/>
      </c>
      <c r="H7" s="17" t="n">
        <v>50</v>
      </c>
      <c r="I7" s="17" t="n">
        <v>35</v>
      </c>
      <c r="J7" s="30">
        <f>I7-H7</f>
        <v/>
      </c>
    </row>
    <row r="8">
      <c r="A8" s="36" t="inlineStr">
        <is>
          <t>TOPLAM</t>
        </is>
      </c>
      <c r="B8" s="21">
        <f>SUM(B4:B7)</f>
        <v/>
      </c>
      <c r="C8" s="21">
        <f>SUM(C4:C7)</f>
        <v/>
      </c>
      <c r="D8" s="30">
        <f>C8-B8</f>
        <v/>
      </c>
      <c r="E8" s="21">
        <f>SUM(E4:E7)</f>
        <v/>
      </c>
      <c r="F8" s="21">
        <f>SUM(F4:F7)</f>
        <v/>
      </c>
      <c r="G8" s="30">
        <f>F8-E8</f>
        <v/>
      </c>
      <c r="H8" s="21">
        <f>SUM(H4:H7)</f>
        <v/>
      </c>
      <c r="I8" s="21">
        <f>SUM(I4:I7)</f>
        <v/>
      </c>
      <c r="J8" s="30">
        <f>I8-H8</f>
        <v/>
      </c>
    </row>
    <row r="10">
      <c r="A10" s="47" t="inlineStr">
        <is>
          <t>BÖLÜM BAZINDA NORM AÇIĞI</t>
        </is>
      </c>
    </row>
    <row r="11">
      <c r="A11" s="54" t="inlineStr">
        <is>
          <t>Bölüm</t>
        </is>
      </c>
      <c r="B11" s="54" t="inlineStr">
        <is>
          <t>Norm</t>
        </is>
      </c>
      <c r="C11" s="54" t="inlineStr">
        <is>
          <t>Kadrolu 31.08</t>
        </is>
      </c>
      <c r="D11" s="54" t="inlineStr">
        <is>
          <t>Açık</t>
        </is>
      </c>
      <c r="E11" s="54" t="inlineStr">
        <is>
          <t>Fazla</t>
        </is>
      </c>
      <c r="F11" s="54" t="inlineStr">
        <is>
          <t>Sezonluk 31.08</t>
        </is>
      </c>
    </row>
    <row r="12">
      <c r="A12" s="16" t="inlineStr">
        <is>
          <t>Çocuk</t>
        </is>
      </c>
      <c r="B12" s="17" t="n">
        <v>19</v>
      </c>
      <c r="C12" s="17" t="n">
        <v>14</v>
      </c>
      <c r="D12" s="55" t="n">
        <v>5</v>
      </c>
      <c r="E12" s="17" t="inlineStr">
        <is>
          <t>—</t>
        </is>
      </c>
      <c r="F12" s="17" t="n">
        <v>5</v>
      </c>
    </row>
    <row r="13">
      <c r="A13" s="16" t="inlineStr">
        <is>
          <t>Kültür</t>
        </is>
      </c>
      <c r="B13" s="17" t="n">
        <v>22</v>
      </c>
      <c r="C13" s="17" t="n">
        <v>20</v>
      </c>
      <c r="D13" s="55" t="n">
        <v>2</v>
      </c>
      <c r="E13" s="17" t="inlineStr">
        <is>
          <t>—</t>
        </is>
      </c>
      <c r="F13" s="17" t="n">
        <v>2</v>
      </c>
    </row>
    <row r="14">
      <c r="A14" s="16" t="inlineStr">
        <is>
          <t>Mağaza</t>
        </is>
      </c>
      <c r="B14" s="17" t="n">
        <v>10</v>
      </c>
      <c r="C14" s="17" t="n">
        <v>8</v>
      </c>
      <c r="D14" s="55" t="n">
        <v>2</v>
      </c>
      <c r="E14" s="17" t="inlineStr">
        <is>
          <t>—</t>
        </is>
      </c>
      <c r="F14" s="17" t="n">
        <v>0</v>
      </c>
    </row>
    <row r="15">
      <c r="A15" s="16" t="inlineStr">
        <is>
          <t>İdari̇ İşler</t>
        </is>
      </c>
      <c r="B15" s="17" t="n">
        <v>8</v>
      </c>
      <c r="C15" s="17" t="n">
        <v>6</v>
      </c>
      <c r="D15" s="55" t="n">
        <v>2</v>
      </c>
      <c r="E15" s="17" t="inlineStr">
        <is>
          <t>—</t>
        </is>
      </c>
      <c r="F15" s="17" t="n">
        <v>0</v>
      </c>
    </row>
    <row r="16">
      <c r="A16" s="16" t="inlineStr">
        <is>
          <t>Akademi̇</t>
        </is>
      </c>
      <c r="B16" s="17" t="n">
        <v>10</v>
      </c>
      <c r="C16" s="17" t="n">
        <v>9</v>
      </c>
      <c r="D16" s="55" t="n">
        <v>1</v>
      </c>
      <c r="E16" s="17" t="inlineStr">
        <is>
          <t>—</t>
        </is>
      </c>
      <c r="F16" s="17" t="n">
        <v>0</v>
      </c>
    </row>
    <row r="17">
      <c r="A17" s="16" t="inlineStr">
        <is>
          <t>Kasa</t>
        </is>
      </c>
      <c r="B17" s="17" t="n">
        <v>16</v>
      </c>
      <c r="C17" s="17" t="n">
        <v>15</v>
      </c>
      <c r="D17" s="55" t="n">
        <v>1</v>
      </c>
      <c r="E17" s="17" t="inlineStr">
        <is>
          <t>—</t>
        </is>
      </c>
      <c r="F17" s="17" t="n">
        <v>9</v>
      </c>
    </row>
    <row r="18">
      <c r="A18" s="16" t="inlineStr">
        <is>
          <t>Muhasebe (teyit bekliyor)</t>
        </is>
      </c>
      <c r="B18" s="56" t="n">
        <v>1</v>
      </c>
      <c r="C18" s="56" t="n">
        <v>0</v>
      </c>
      <c r="D18" s="56" t="inlineStr">
        <is>
          <t>—</t>
        </is>
      </c>
      <c r="E18" s="56" t="inlineStr">
        <is>
          <t>—</t>
        </is>
      </c>
      <c r="F18" s="56" t="n">
        <v>0</v>
      </c>
    </row>
    <row r="19">
      <c r="A19" s="16" t="inlineStr">
        <is>
          <t>Oyun Alani (teyit bekliyor)</t>
        </is>
      </c>
      <c r="B19" s="56" t="n">
        <v>1</v>
      </c>
      <c r="C19" s="56" t="n">
        <v>0</v>
      </c>
      <c r="D19" s="56" t="inlineStr">
        <is>
          <t>—</t>
        </is>
      </c>
      <c r="E19" s="56" t="inlineStr">
        <is>
          <t>—</t>
        </is>
      </c>
      <c r="F19" s="56" t="n">
        <v>0</v>
      </c>
    </row>
    <row r="20">
      <c r="A20" s="16" t="inlineStr">
        <is>
          <t>Etki̇nli̇k</t>
        </is>
      </c>
      <c r="B20" s="17" t="n">
        <v>0</v>
      </c>
      <c r="C20" s="17" t="n">
        <v>3</v>
      </c>
      <c r="D20" s="17" t="inlineStr">
        <is>
          <t>—</t>
        </is>
      </c>
      <c r="E20" s="17" t="n">
        <v>3</v>
      </c>
      <c r="F20" s="17" t="n">
        <v>0</v>
      </c>
    </row>
    <row r="21">
      <c r="A21" s="16" t="inlineStr">
        <is>
          <t>Kirtasi̇ye</t>
        </is>
      </c>
      <c r="B21" s="17" t="n">
        <v>24</v>
      </c>
      <c r="C21" s="17" t="n">
        <v>23</v>
      </c>
      <c r="D21" s="55" t="n">
        <v>1</v>
      </c>
      <c r="E21" s="17" t="inlineStr">
        <is>
          <t>—</t>
        </is>
      </c>
      <c r="F21" s="17" t="n">
        <v>22</v>
      </c>
    </row>
    <row r="22">
      <c r="A22" s="16" t="inlineStr">
        <is>
          <t>Kiyafet</t>
        </is>
      </c>
      <c r="B22" s="17" t="n">
        <v>0</v>
      </c>
      <c r="C22" s="17" t="n">
        <v>0</v>
      </c>
      <c r="D22" s="17" t="inlineStr">
        <is>
          <t>—</t>
        </is>
      </c>
      <c r="E22" s="17" t="inlineStr">
        <is>
          <t>—</t>
        </is>
      </c>
      <c r="F22" s="17" t="n">
        <v>4</v>
      </c>
    </row>
    <row r="23">
      <c r="A23" s="16" t="inlineStr">
        <is>
          <t>Mal Kabul</t>
        </is>
      </c>
      <c r="B23" s="17" t="n">
        <v>6</v>
      </c>
      <c r="C23" s="17" t="n">
        <v>5</v>
      </c>
      <c r="D23" s="55" t="n">
        <v>1</v>
      </c>
      <c r="E23" s="17" t="inlineStr">
        <is>
          <t>—</t>
        </is>
      </c>
      <c r="F23" s="17" t="n">
        <v>1</v>
      </c>
    </row>
    <row r="24">
      <c r="A24" s="16" t="inlineStr">
        <is>
          <t>Oyuncak</t>
        </is>
      </c>
      <c r="B24" s="17" t="n">
        <v>10</v>
      </c>
      <c r="C24" s="17" t="n">
        <v>10</v>
      </c>
      <c r="D24" s="17" t="inlineStr">
        <is>
          <t>—</t>
        </is>
      </c>
      <c r="E24" s="17" t="inlineStr">
        <is>
          <t>—</t>
        </is>
      </c>
      <c r="F24" s="17" t="n">
        <v>0</v>
      </c>
    </row>
    <row r="25">
      <c r="A25" s="16" t="inlineStr">
        <is>
          <t>Yardimci Ki̇tap</t>
        </is>
      </c>
      <c r="B25" s="17" t="n">
        <v>18</v>
      </c>
      <c r="C25" s="17" t="n">
        <v>21</v>
      </c>
      <c r="D25" s="17" t="inlineStr">
        <is>
          <t>—</t>
        </is>
      </c>
      <c r="E25" s="17" t="n">
        <v>3</v>
      </c>
      <c r="F25" s="17" t="n">
        <v>15</v>
      </c>
    </row>
    <row r="26">
      <c r="A26" s="36" t="inlineStr">
        <is>
          <t>TOPLAM</t>
        </is>
      </c>
      <c r="B26" s="21" t="n">
        <v>145</v>
      </c>
      <c r="C26" s="21" t="n">
        <v>134</v>
      </c>
      <c r="D26" s="21" t="n">
        <v>15</v>
      </c>
      <c r="E26" s="21" t="n">
        <v>3</v>
      </c>
      <c r="F26" s="21" t="n">
        <v>58</v>
      </c>
    </row>
    <row r="27">
      <c r="A27" s="57" t="inlineStr">
        <is>
          <t>Etkinlik (norm dışı)</t>
        </is>
      </c>
      <c r="C27" s="56" t="n">
        <v>3</v>
      </c>
    </row>
    <row r="28">
      <c r="A28" s="57" t="inlineStr">
        <is>
          <t>Engelli (norm dışı)</t>
        </is>
      </c>
      <c r="C28" s="56" t="n">
        <v>3</v>
      </c>
    </row>
    <row r="29">
      <c r="A29" s="58" t="inlineStr">
        <is>
          <t>Kayıt toplamı (İK, tüm gruplar)</t>
        </is>
      </c>
      <c r="C29" s="17" t="n">
        <v>137</v>
      </c>
      <c r="F29" s="17" t="n">
        <v>58</v>
      </c>
      <c r="I29" s="17" t="n">
        <v>195</v>
      </c>
    </row>
    <row r="31">
      <c r="A31" s="32" t="inlineStr">
        <is>
          <t>KURAL: norm = ENGELLI DISINDAKI personel (yonetim karari). Magaza satirlari OPERASYONEL kadroyu gosterir (kadrolu - engelli - etkinlik); en altta IK'nin kayit toplami durur.</t>
        </is>
      </c>
    </row>
    <row r="32">
      <c r="A32" s="32" t="inlineStr">
        <is>
          <t>⚠ BOLUM acigi (15) MAGAZA acigindan (14) BUYUK: magaza icinde bir bolumun fazlasi baska bolumun acigini maskeler.</t>
        </is>
      </c>
    </row>
    <row r="33">
      <c r="A33" s="32" t="inlineStr">
        <is>
          <t>TEYIT BEKLEYEN: normda tanimli ama kayitta HIC kisi olmayan bolum(ler) Muhasebe, Oyun Alani = 2 kisi. Bolum adi Zirve'de baska yazili olabilir (key-mismatch) veya bolum gercekten bos; ACIK TOPLAMINA DAHIL EDILMEDI.</t>
        </is>
      </c>
    </row>
    <row r="34">
      <c r="A34" s="32" t="inlineStr">
        <is>
          <t>ENGELLI TESPITI: Personelno bicimi yuzunden atlanan kayit sayisi 0 (0 olmali; &gt;0 ise engelli sayisi ALT SINIR, norm acigi oldugundan kucuk gorunur).</t>
        </is>
      </c>
    </row>
    <row r="35">
      <c r="A35" s="32" t="inlineStr">
        <is>
          <t>NORM SEZON DISI kadroyu tanimlar -&gt; sezonluk personel norma DAHIL DEGIL; kiyas yalniz KADROLU ile.</t>
        </is>
      </c>
    </row>
    <row r="36">
      <c r="A36" s="32" t="inlineStr">
        <is>
          <t>Norm kaynagi: norm-kadro-20260811.json (11.08.2026). Yonetim parametresi, Zirve'den sorgulanmaz.</t>
        </is>
      </c>
    </row>
    <row r="37">
      <c r="A37" s="32" t="inlineStr">
        <is>
          <t>KAPSAM DISI: Şura norm tablosunda yok.</t>
        </is>
      </c>
    </row>
    <row r="38">
      <c r="A38" s="32" t="inlineStr">
        <is>
          <t>Eksi fark = normun ALTINDA calisiliyor. 31.08'de norm 145, OPERASYONEL kadrolu 131 (kayit 137 - engelli/etkinlik). Ustteki tablo operasyonel rakami gosterir.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5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2" t="inlineStr">
        <is>
          <t>Personel maliyeti ve ciro orani — 01-07 ay (Oca–Tem), her iki yıl, uc POS magazasi (İst. Yolu · Özlüce · Fsm)</t>
        </is>
      </c>
    </row>
    <row r="3" ht="30" customHeight="1">
      <c r="A3" s="13" t="inlineStr">
        <is>
          <t>Olcu</t>
        </is>
      </c>
      <c r="B3" s="13" t="inlineStr">
        <is>
          <t>2025</t>
        </is>
      </c>
      <c r="C3" s="13" t="inlineStr">
        <is>
          <t>2026</t>
        </is>
      </c>
      <c r="D3" s="13" t="inlineStr">
        <is>
          <t>Degisim</t>
        </is>
      </c>
    </row>
    <row r="4">
      <c r="A4" s="16" t="inlineStr">
        <is>
          <t>Kisi-ay (bordro satiri)</t>
        </is>
      </c>
      <c r="B4" s="17" t="n">
        <v>781</v>
      </c>
      <c r="C4" s="17" t="n">
        <v>856</v>
      </c>
      <c r="D4" s="44">
        <f>C4/B4-1</f>
        <v/>
      </c>
    </row>
    <row r="5">
      <c r="A5" s="16" t="inlineStr">
        <is>
          <t>Brut ucret toplami</t>
        </is>
      </c>
      <c r="B5" s="17" t="n">
        <v>25335535.94970002</v>
      </c>
      <c r="C5" s="17" t="n">
        <v>38122041.40320002</v>
      </c>
      <c r="D5" s="44">
        <f>C5/B5-1</f>
        <v/>
      </c>
    </row>
    <row r="6">
      <c r="A6" s="16" t="inlineStr">
        <is>
          <t>Isveren SGK hissesi</t>
        </is>
      </c>
      <c r="B6" s="17" t="n">
        <v>5363453.390000004</v>
      </c>
      <c r="C6" s="17" t="n">
        <v>8415547.840000011</v>
      </c>
      <c r="D6" s="44">
        <f>C6/B6-1</f>
        <v/>
      </c>
    </row>
    <row r="7">
      <c r="A7" s="16" t="inlineStr">
        <is>
          <t>Isveren issizlik payi</t>
        </is>
      </c>
      <c r="B7" s="17" t="n">
        <v>457439.0400000003</v>
      </c>
      <c r="C7" s="17" t="n">
        <v>679771.7700000003</v>
      </c>
      <c r="D7" s="44">
        <f>C7/B7-1</f>
        <v/>
      </c>
    </row>
    <row r="8">
      <c r="A8" s="20" t="inlineStr">
        <is>
          <t>PERSONEL MALIYETI (brut isveren)</t>
        </is>
      </c>
      <c r="B8" s="52" t="n">
        <v>31156428.37970001</v>
      </c>
      <c r="C8" s="52" t="n">
        <v>47217361.01320001</v>
      </c>
      <c r="D8" s="59">
        <f>C8/B8-1</f>
        <v/>
      </c>
    </row>
    <row r="9">
      <c r="A9" s="16" t="inlineStr">
        <is>
          <t>Net odenen (bilgi)</t>
        </is>
      </c>
      <c r="B9" s="17" t="n">
        <v>16640194.22</v>
      </c>
      <c r="C9" s="17" t="n">
        <v>25058013.1425</v>
      </c>
      <c r="D9" s="44">
        <f>C9/B9-1</f>
        <v/>
      </c>
    </row>
    <row r="10">
      <c r="A10" s="16" t="inlineStr">
        <is>
          <t>Ciro (KDV haric, Sinav dahil)</t>
        </is>
      </c>
      <c r="B10" s="17" t="n">
        <v>242487002.9100002</v>
      </c>
      <c r="C10" s="17" t="n">
        <v>388687036.5200024</v>
      </c>
      <c r="D10" s="44">
        <f>C10/B10-1</f>
        <v/>
      </c>
    </row>
    <row r="11">
      <c r="A11" s="16" t="inlineStr">
        <is>
          <t>Kisi-ay basina maliyet</t>
        </is>
      </c>
      <c r="B11" s="17" t="n">
        <v>39892.99408412293</v>
      </c>
      <c r="C11" s="17" t="n">
        <v>55160.4684733645</v>
      </c>
      <c r="D11" s="44">
        <f>C11/B11-1</f>
        <v/>
      </c>
    </row>
    <row r="12">
      <c r="A12" s="16" t="inlineStr">
        <is>
          <t>Kisi-ay basina ciro</t>
        </is>
      </c>
      <c r="B12" s="17" t="n">
        <v>310482.7181946225</v>
      </c>
      <c r="C12" s="17" t="n">
        <v>454073.6407943954</v>
      </c>
      <c r="D12" s="44">
        <f>C12/B12-1</f>
        <v/>
      </c>
    </row>
    <row r="13">
      <c r="A13" s="20" t="inlineStr">
        <is>
          <t>MALIYET / CIRO ORANI</t>
        </is>
      </c>
      <c r="B13" s="60" t="n">
        <v>0.1284870034509182</v>
      </c>
      <c r="C13" s="60" t="n">
        <v>0.1214791247887943</v>
      </c>
      <c r="D13" s="61">
        <f>C13-B13</f>
        <v/>
      </c>
      <c r="E13" s="62" t="inlineStr">
        <is>
          <t>yuzde PUAN farki (eksi = ciro icindeki personel yuku azaldi)</t>
        </is>
      </c>
    </row>
    <row r="15">
      <c r="A15" s="47" t="inlineStr">
        <is>
          <t>SUBE BAZINDA MALIYET VE FAZLA MESAI (bes magaza)</t>
        </is>
      </c>
    </row>
    <row r="16">
      <c r="A16" s="54" t="inlineStr">
        <is>
          <t>Sube</t>
        </is>
      </c>
      <c r="B16" s="54" t="inlineStr">
        <is>
          <t>Kisi-ay 2025</t>
        </is>
      </c>
      <c r="C16" s="54" t="inlineStr">
        <is>
          <t>Kisi-ay 2026</t>
        </is>
      </c>
      <c r="D16" s="54" t="inlineStr">
        <is>
          <t>Maliyet 2025</t>
        </is>
      </c>
      <c r="E16" s="54" t="inlineStr">
        <is>
          <t>Maliyet 2026</t>
        </is>
      </c>
      <c r="F16" s="54" t="inlineStr">
        <is>
          <t>Maliyet Δ</t>
        </is>
      </c>
      <c r="G16" s="54" t="inlineStr">
        <is>
          <t>FM saat 2025</t>
        </is>
      </c>
      <c r="H16" s="54" t="inlineStr">
        <is>
          <t>FM saat 2026</t>
        </is>
      </c>
      <c r="I16" s="54" t="inlineStr">
        <is>
          <t>FM tutar 2026</t>
        </is>
      </c>
    </row>
    <row r="17">
      <c r="A17" s="16" t="inlineStr">
        <is>
          <t>Fsm</t>
        </is>
      </c>
      <c r="B17" s="17" t="n">
        <v>267</v>
      </c>
      <c r="C17" s="17" t="n">
        <v>273</v>
      </c>
      <c r="D17" s="17" t="n">
        <v>10505479.13700001</v>
      </c>
      <c r="E17" s="17" t="n">
        <v>15336984.19000001</v>
      </c>
      <c r="F17" s="19">
        <f>E17/D17-1</f>
        <v/>
      </c>
      <c r="G17" s="34" t="n">
        <v>2010</v>
      </c>
      <c r="H17" s="34" t="n">
        <v>2084</v>
      </c>
      <c r="I17" s="17" t="n">
        <v>323297.7100000001</v>
      </c>
    </row>
    <row r="18">
      <c r="A18" s="16" t="inlineStr">
        <is>
          <t>Heykel</t>
        </is>
      </c>
      <c r="B18" s="17" t="n">
        <v>210</v>
      </c>
      <c r="C18" s="17" t="n">
        <v>208</v>
      </c>
      <c r="D18" s="17" t="n">
        <v>8934645.077999998</v>
      </c>
      <c r="E18" s="17" t="n">
        <v>12368114.50640001</v>
      </c>
      <c r="F18" s="19">
        <f>E18/D18-1</f>
        <v/>
      </c>
      <c r="G18" s="34" t="n">
        <v>1608</v>
      </c>
      <c r="H18" s="34" t="n">
        <v>1606.5</v>
      </c>
      <c r="I18" s="17" t="n">
        <v>252249.6700000001</v>
      </c>
    </row>
    <row r="19">
      <c r="A19" s="16" t="inlineStr">
        <is>
          <t>Özlüce</t>
        </is>
      </c>
      <c r="B19" s="17" t="n">
        <v>294</v>
      </c>
      <c r="C19" s="17" t="n">
        <v>323</v>
      </c>
      <c r="D19" s="17" t="n">
        <v>12022817.438</v>
      </c>
      <c r="E19" s="17" t="n">
        <v>17601765.7182</v>
      </c>
      <c r="F19" s="19">
        <f>E19/D19-1</f>
        <v/>
      </c>
      <c r="G19" s="34" t="n">
        <v>2518</v>
      </c>
      <c r="H19" s="34" t="n">
        <v>3144</v>
      </c>
      <c r="I19" s="17" t="n">
        <v>499150.3099999993</v>
      </c>
    </row>
    <row r="20">
      <c r="A20" s="16" t="inlineStr">
        <is>
          <t>İst. Yolu</t>
        </is>
      </c>
      <c r="B20" s="17" t="n">
        <v>220</v>
      </c>
      <c r="C20" s="17" t="n">
        <v>260</v>
      </c>
      <c r="D20" s="17" t="n">
        <v>8628131.804699995</v>
      </c>
      <c r="E20" s="17" t="n">
        <v>14278611.10500001</v>
      </c>
      <c r="F20" s="19">
        <f>E20/D20-1</f>
        <v/>
      </c>
      <c r="G20" s="34" t="n">
        <v>1800.5</v>
      </c>
      <c r="H20" s="34" t="n">
        <v>2400.51</v>
      </c>
      <c r="I20" s="17" t="n">
        <v>361480.5099999998</v>
      </c>
    </row>
    <row r="21">
      <c r="A21" s="16" t="inlineStr">
        <is>
          <t>Şura</t>
        </is>
      </c>
      <c r="B21" s="17" t="n">
        <v>63</v>
      </c>
      <c r="C21" s="17" t="n">
        <v>79</v>
      </c>
      <c r="D21" s="17" t="n">
        <v>3016259.480500001</v>
      </c>
      <c r="E21" s="17" t="n">
        <v>5701231.434999999</v>
      </c>
      <c r="F21" s="19">
        <f>E21/D21-1</f>
        <v/>
      </c>
      <c r="G21" s="34" t="n">
        <v>277</v>
      </c>
      <c r="H21" s="34" t="n">
        <v>212.5</v>
      </c>
      <c r="I21" s="17" t="n">
        <v>37862.25999999999</v>
      </c>
    </row>
    <row r="23">
      <c r="A23" s="47" t="inlineStr">
        <is>
          <t>FAZLA MESAI VE YASAL SINIR (4857 s.K. m.41 — yillik 270 saat)</t>
        </is>
      </c>
    </row>
    <row r="24">
      <c r="A24" s="16" t="inlineStr">
        <is>
          <t>Fiili FM saat 2025 (uc POS)</t>
        </is>
      </c>
      <c r="B24" s="34" t="n">
        <v>6328.5</v>
      </c>
    </row>
    <row r="25">
      <c r="A25" s="16" t="inlineStr">
        <is>
          <t>Fiili FM saat 2026 (uc POS)</t>
        </is>
      </c>
      <c r="B25" s="34" t="n">
        <v>7628.51</v>
      </c>
    </row>
    <row r="26">
      <c r="A26" s="16" t="inlineStr">
        <is>
          <t>Kisi basi YILLIK FM 2025 (saat)</t>
        </is>
      </c>
      <c r="B26" s="34" t="n">
        <v>97.23687580025609</v>
      </c>
    </row>
    <row r="27">
      <c r="A27" s="16" t="inlineStr">
        <is>
          <t>Kisi basi YILLIK FM 2026 (saat)</t>
        </is>
      </c>
      <c r="B27" s="34" t="n">
        <v>106.9417289719626</v>
      </c>
    </row>
    <row r="28">
      <c r="A28" s="16" t="inlineStr">
        <is>
          <t>Yillik sinir hizinda kisi-ay 2025</t>
        </is>
      </c>
      <c r="B28" s="17" t="n">
        <v>32</v>
      </c>
    </row>
    <row r="29">
      <c r="A29" s="16" t="inlineStr">
        <is>
          <t>Yillik sinir hizinda kisi-ay 2026</t>
        </is>
      </c>
      <c r="B29" s="17" t="n">
        <v>95</v>
      </c>
    </row>
    <row r="30">
      <c r="A30" s="16" t="inlineStr">
        <is>
          <t>VARSAYIM: kadro 2025 seviyesinde kalsaydi eksik kisi-ay</t>
        </is>
      </c>
      <c r="B30" s="17" t="n">
        <v>75</v>
      </c>
    </row>
    <row r="31">
      <c r="A31" s="16" t="inlineStr">
        <is>
          <t>VARSAYIM: gereken EK fazla mesai (saat)</t>
        </is>
      </c>
      <c r="B31" s="34" t="n">
        <v>14625</v>
      </c>
    </row>
    <row r="32">
      <c r="A32" s="20" t="inlineStr">
        <is>
          <t>VARSAYIM: kisi basi YILLIK FM (saat)</t>
        </is>
      </c>
      <c r="B32" s="63" t="n">
        <v>341.9233290653009</v>
      </c>
    </row>
    <row r="33">
      <c r="A33" s="20" t="inlineStr">
        <is>
          <t>YASAL UST SINIR (saat/yil/kisi)</t>
        </is>
      </c>
      <c r="B33" s="63" t="n">
        <v>270</v>
      </c>
    </row>
    <row r="35">
      <c r="A35" s="32" t="inlineStr">
        <is>
          <t>FORMUL: Personel maliyeti = Brüt Toplam (Bt) + İşveren SGK Hissesi (Isskk) + İşveren İşsizlik Payı (Iisk) — Zirve bordro vw_PuanBil, yönetimin kendi bordro kontrol raporundaki formül.</t>
        </is>
      </c>
    </row>
    <row r="36">
      <c r="A36" s="32" t="inlineStr">
        <is>
          <t>PENCERE: 01-07 ay (Oca–Tem), her iki yıl — Agustos bordrosu henuz kosmadigi icin son TAM bordro ayina kadar alinir (eksik ay maliyeti %80+ dusuk gosterir).</t>
        </is>
      </c>
    </row>
    <row r="37">
      <c r="A37" s="32" t="inlineStr">
        <is>
          <t>ORAN: maliyet/ciro yuzde PUAN olarak kiyaslanir. Ciro KDV HARIC (maliyet de KDV'siz), Sinav DAHIL (o satisi da ayni magaza personeli yapiyor).</t>
        </is>
      </c>
    </row>
    <row r="38">
      <c r="A38" s="32" t="inlineStr">
        <is>
          <t>K-22 VARSAYIM: İşgücü ihtiyacı kişi sayısıyla doğru orantılı kabul edilir; 75 kişi-aylık kapasite eksiği ancak fazla mesaiyle kapanırdı (kişi-ay başına 195 saat normal çalışma). Yasal çerçeve: 4857 s.K. m.41 yıllık 270 saat üst sınır.</t>
        </is>
      </c>
    </row>
    <row r="39">
      <c r="A39" s="32" t="inlineStr">
        <is>
          <t>⚠ Sube dagilimi personelin BUGUNKU subesine gore yapilir (bordro ayindaki subesi degil) — toplamlar dogru, sube kirilimi yer degistirenlerde kayabilir.</t>
        </is>
      </c>
    </row>
    <row r="40">
      <c r="A40" s="32" t="inlineStr">
        <is>
          <t>KVKK: kisi bazli ucret/maliyet YOK; tum rakamlar sube/kapsam duzeyinde toplulastirilmis.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4" customWidth="1" min="1" max="1"/>
    <col width="118" customWidth="1" min="2" max="2"/>
  </cols>
  <sheetData>
    <row r="1">
      <c r="A1" s="12" t="inlineStr">
        <is>
          <t>Yontem ve kaynaklar</t>
        </is>
      </c>
    </row>
    <row r="3" ht="30" customHeight="1">
      <c r="A3" s="64" t="inlineStr">
        <is>
          <t>Baslik</t>
        </is>
      </c>
      <c r="B3" s="65" t="inlineStr">
        <is>
          <t>Kişi başı iş hacmi — sezon 2026 vs 2025</t>
        </is>
      </c>
    </row>
    <row r="4" ht="30" customHeight="1">
      <c r="A4" s="64" t="inlineStr">
        <is>
          <t>Kesim tarihi</t>
        </is>
      </c>
      <c r="B4" s="65" t="inlineStr">
        <is>
          <t>otomatik (veri sonu, okul-hizalı pencerede)</t>
        </is>
      </c>
    </row>
    <row r="5" ht="30" customHeight="1">
      <c r="A5" s="64" t="inlineStr">
        <is>
          <t>Pencere</t>
        </is>
      </c>
      <c r="B5" s="65" t="inlineStr">
        <is>
          <t>Okul açılışına hizalı — 2025: 01.07.2025 – 25.08.2025 · 2026: 07.07.2026 – 31.08.2026 (her iki yıl 56 gün; açılış 20250908 ve 20260914, gün ofseti -69..-14)</t>
        </is>
      </c>
    </row>
    <row r="6" ht="30" customHeight="1">
      <c r="A6" s="64" t="inlineStr">
        <is>
          <t>Kadro kaynagi</t>
        </is>
      </c>
      <c r="B6" s="65" t="inlineStr">
        <is>
          <t>Zirve BKM_GENEL.dbo.vw_PersonelDepartman — as-of Igt &lt;= T AND (Ict IS NULL OR Ict &gt;= T), sp_PersonelKarsilastirma_Ozet ile birebir</t>
        </is>
      </c>
    </row>
    <row r="7" ht="30" customHeight="1">
      <c r="A7" s="64" t="inlineStr">
        <is>
          <t>Is hacmi kaynagi</t>
        </is>
      </c>
      <c r="B7" s="65" t="inlineStr">
        <is>
          <t>DerinSIS irs/irsAyr eTip=100 (POS satışı), Sınav Okulları/Kıyafet hariç, iade netlenmiş</t>
        </is>
      </c>
    </row>
    <row r="8" ht="30" customHeight="1">
      <c r="A8" s="64" t="inlineStr">
        <is>
          <t>Cekirdek SQL</t>
        </is>
      </c>
      <c r="B8" s="65" t="inlineStr">
        <is>
          <t>sorgular/2026-09-02-kadro-vs-is-hacmi-savunma.sql (blok 11)</t>
        </is>
      </c>
    </row>
    <row r="10">
      <c r="A10" s="47" t="inlineStr">
        <is>
          <t>Dikkat edilecekler</t>
        </is>
      </c>
    </row>
    <row r="11" ht="28" customHeight="1">
      <c r="B11" s="66" t="inlineStr">
        <is>
          <t>• Ürün adedi enflasyondan bağımsız — kadro kıyasında birincil ölçüt. Ciro ikincil (fiyat endeksi +%19,8, Fisher, eşleşen ürün).</t>
        </is>
      </c>
    </row>
    <row r="12" ht="28" customHeight="1">
      <c r="B12" s="66" t="inlineStr">
        <is>
          <t>• Kıyas okul açılışına hizalı yapılır. Takvim tarihine göre kıyas 2026'da yapay düşüş gösterir: açılış 8 Eylül 2025'ten 14 Eylül 2026'ya, 6 gün kaydı.</t>
        </is>
      </c>
    </row>
    <row r="13" ht="28" customHeight="1">
      <c r="B13" s="66" t="inlineStr">
        <is>
          <t>• İş hacmi EncoreMerkez POS'tan DEĞİL DerinSIS'ten alınır: POS Temmuz 2025'te değişti (ENPOS → EncoreMerkez), EncoreMerkez'in 2025 tabanı eksik.</t>
        </is>
      </c>
    </row>
    <row r="14" ht="28" customHeight="1">
      <c r="B14" s="66" t="inlineStr">
        <is>
          <t>• Heykel ve Şura POS raporlamasında yok — mağaza sayfası üç POS mağazası (FSM · Özlüce · İst. Yolu). Beş mağaza kadro hareketi Özet'te ayrı.</t>
        </is>
      </c>
    </row>
    <row r="15" ht="28" customHeight="1">
      <c r="B15" s="66" t="inlineStr">
        <is>
          <t>• Kadro = o tarihte fiilen çalışan kişi (sezonluk + kadrolu). Kişi başı oranlar kasiyer değil TÜM mağaza kadrosu üzerinden.</t>
        </is>
      </c>
    </row>
    <row r="16" ht="28" customHeight="1">
      <c r="B16" s="66" t="inlineStr">
        <is>
          <t>• Fiş sayısı bu kaynakta yok: eTip 100 günlük özet belgedir (bir gün = bir belge).</t>
        </is>
      </c>
    </row>
    <row r="17" ht="28" customHeight="1">
      <c r="B17" s="66" t="inlineStr">
        <is>
          <t>• Kıdem → verimlilik testi NEGATİF çıktı: aynı kasiyerin öğrenme eğrisi düz (220 → 256 → 242 fiş/gün), mağaza kıdem sıralaması verimlilikle uyuşmuyor. 'Tecrübeli 1 kişi = acemi 3 kişi' iddiası bu veriyle savunulamaz.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344"/>
  <sheetViews>
    <sheetView workbookViewId="0">
      <pane ySplit="4" topLeftCell="A5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8" customWidth="1" min="3" max="3"/>
    <col width="30" customWidth="1" min="4" max="4"/>
    <col width="11" customWidth="1" min="5" max="5"/>
    <col width="11" customWidth="1" min="6" max="6"/>
    <col width="11" customWidth="1" min="7" max="7"/>
    <col width="10" customWidth="1" min="8" max="8"/>
    <col width="10" customWidth="1" min="9" max="9"/>
    <col width="10" customWidth="1" min="10" max="10"/>
  </cols>
  <sheetData>
    <row r="1">
      <c r="A1" s="12" t="inlineStr">
        <is>
          <t>Mağaza personeli — 31.08.2025 veya 31.08.2026'da çalışanlar</t>
        </is>
      </c>
    </row>
    <row r="2">
      <c r="A2" s="2" t="inlineStr">
        <is>
          <t>KVKK: ücret / TC no / IBAN yok. Bu sayfa yalnız iç kullanım; patron sunumunda YER ALMAZ.</t>
        </is>
      </c>
    </row>
    <row r="4" ht="30" customHeight="1">
      <c r="A4" s="13" t="inlineStr">
        <is>
          <t>Ad Soyad</t>
        </is>
      </c>
      <c r="B4" s="13" t="inlineStr">
        <is>
          <t>Şube</t>
        </is>
      </c>
      <c r="C4" s="13" t="inlineStr">
        <is>
          <t>Bölüm</t>
        </is>
      </c>
      <c r="D4" s="13" t="inlineStr">
        <is>
          <t>Ünvan</t>
        </is>
      </c>
      <c r="E4" s="13" t="inlineStr">
        <is>
          <t>Kadro</t>
        </is>
      </c>
      <c r="F4" s="13" t="inlineStr">
        <is>
          <t>Giriş</t>
        </is>
      </c>
      <c r="G4" s="13" t="inlineStr">
        <is>
          <t>Çıkış</t>
        </is>
      </c>
      <c r="H4" s="13" t="inlineStr">
        <is>
          <t>31.08.2025</t>
        </is>
      </c>
      <c r="I4" s="13" t="inlineStr">
        <is>
          <t>31.08.2026</t>
        </is>
      </c>
      <c r="J4" s="13" t="inlineStr">
        <is>
          <t>Kıdem (yıl)</t>
        </is>
      </c>
    </row>
    <row r="5">
      <c r="A5" s="16" t="inlineStr">
        <is>
          <t>SİN. GÖK.</t>
        </is>
      </c>
      <c r="B5" s="16" t="inlineStr">
        <is>
          <t>FSM</t>
        </is>
      </c>
      <c r="C5" s="16" t="inlineStr">
        <is>
          <t>AKADEMİ</t>
        </is>
      </c>
      <c r="D5" s="16" t="inlineStr">
        <is>
          <t>REYON ŞEFİ</t>
        </is>
      </c>
      <c r="E5" s="16" t="inlineStr">
        <is>
          <t>KADRO</t>
        </is>
      </c>
      <c r="F5" s="16" t="inlineStr">
        <is>
          <t>18.12.2019</t>
        </is>
      </c>
      <c r="G5" s="16" t="inlineStr"/>
      <c r="H5" s="67" t="inlineStr">
        <is>
          <t>✓</t>
        </is>
      </c>
      <c r="I5" s="67" t="inlineStr">
        <is>
          <t>✓</t>
        </is>
      </c>
      <c r="J5" s="68" t="n">
        <v>6.706849315068493</v>
      </c>
    </row>
    <row r="6">
      <c r="A6" s="16" t="inlineStr">
        <is>
          <t>REC. SAY.</t>
        </is>
      </c>
      <c r="B6" s="16" t="inlineStr">
        <is>
          <t>FSM</t>
        </is>
      </c>
      <c r="C6" s="16" t="inlineStr">
        <is>
          <t>AKADEMİ</t>
        </is>
      </c>
      <c r="D6" s="16" t="inlineStr">
        <is>
          <t>SATIŞ DANIŞMANI</t>
        </is>
      </c>
      <c r="E6" s="16" t="inlineStr">
        <is>
          <t>KADRO</t>
        </is>
      </c>
      <c r="F6" s="16" t="inlineStr">
        <is>
          <t>01.04.2026</t>
        </is>
      </c>
      <c r="G6" s="16" t="inlineStr"/>
      <c r="H6" s="67" t="inlineStr"/>
      <c r="I6" s="67" t="inlineStr">
        <is>
          <t>✓</t>
        </is>
      </c>
      <c r="J6" s="68" t="n">
        <v>0.4164383561643836</v>
      </c>
    </row>
    <row r="7">
      <c r="A7" s="16" t="inlineStr">
        <is>
          <t>GÜL. BEY.</t>
        </is>
      </c>
      <c r="B7" s="16" t="inlineStr">
        <is>
          <t>FSM</t>
        </is>
      </c>
      <c r="C7" s="16" t="inlineStr">
        <is>
          <t>ÇOCUK</t>
        </is>
      </c>
      <c r="D7" s="16" t="inlineStr">
        <is>
          <t>REYON ŞEFİ</t>
        </is>
      </c>
      <c r="E7" s="16" t="inlineStr">
        <is>
          <t>KADRO</t>
        </is>
      </c>
      <c r="F7" s="16" t="inlineStr">
        <is>
          <t>01.03.2024</t>
        </is>
      </c>
      <c r="G7" s="16" t="inlineStr"/>
      <c r="H7" s="67" t="inlineStr">
        <is>
          <t>✓</t>
        </is>
      </c>
      <c r="I7" s="67" t="inlineStr">
        <is>
          <t>✓</t>
        </is>
      </c>
      <c r="J7" s="68" t="n">
        <v>2.501369863013699</v>
      </c>
    </row>
    <row r="8">
      <c r="A8" s="16" t="inlineStr">
        <is>
          <t>SUD. ÖZÜ.</t>
        </is>
      </c>
      <c r="B8" s="16" t="inlineStr">
        <is>
          <t>FSM</t>
        </is>
      </c>
      <c r="C8" s="16" t="inlineStr">
        <is>
          <t>ÇOCUK</t>
        </is>
      </c>
      <c r="D8" s="16" t="inlineStr">
        <is>
          <t>SATIŞ DANIŞMANI</t>
        </is>
      </c>
      <c r="E8" s="16" t="inlineStr">
        <is>
          <t>KADRO</t>
        </is>
      </c>
      <c r="F8" s="16" t="inlineStr">
        <is>
          <t>25.02.2025</t>
        </is>
      </c>
      <c r="G8" s="16" t="inlineStr">
        <is>
          <t>12.07.2026</t>
        </is>
      </c>
      <c r="H8" s="67" t="inlineStr">
        <is>
          <t>✓</t>
        </is>
      </c>
      <c r="I8" s="67" t="inlineStr"/>
      <c r="J8" s="68" t="n">
        <v>1.375342465753425</v>
      </c>
    </row>
    <row r="9">
      <c r="A9" s="16" t="inlineStr">
        <is>
          <t>MER. SUD. BUL.</t>
        </is>
      </c>
      <c r="B9" s="16" t="inlineStr">
        <is>
          <t>FSM</t>
        </is>
      </c>
      <c r="C9" s="16" t="inlineStr">
        <is>
          <t>ÇOCUK</t>
        </is>
      </c>
      <c r="D9" s="16" t="inlineStr">
        <is>
          <t>SATIŞ DANIŞMANI</t>
        </is>
      </c>
      <c r="E9" s="16" t="inlineStr">
        <is>
          <t>KADRO</t>
        </is>
      </c>
      <c r="F9" s="16" t="inlineStr">
        <is>
          <t>03.04.2025</t>
        </is>
      </c>
      <c r="G9" s="16" t="inlineStr">
        <is>
          <t>05.07.2026</t>
        </is>
      </c>
      <c r="H9" s="67" t="inlineStr">
        <is>
          <t>✓</t>
        </is>
      </c>
      <c r="I9" s="67" t="inlineStr"/>
      <c r="J9" s="68" t="n">
        <v>1.254794520547945</v>
      </c>
    </row>
    <row r="10">
      <c r="A10" s="16" t="inlineStr">
        <is>
          <t>CER. TUN.</t>
        </is>
      </c>
      <c r="B10" s="16" t="inlineStr">
        <is>
          <t>FSM</t>
        </is>
      </c>
      <c r="C10" s="16" t="inlineStr">
        <is>
          <t>ÇOCUK</t>
        </is>
      </c>
      <c r="D10" s="16" t="inlineStr">
        <is>
          <t>SATIŞ DANIŞMANI</t>
        </is>
      </c>
      <c r="E10" s="16" t="inlineStr">
        <is>
          <t>KADRO</t>
        </is>
      </c>
      <c r="F10" s="16" t="inlineStr">
        <is>
          <t>18.07.2026</t>
        </is>
      </c>
      <c r="G10" s="16" t="inlineStr"/>
      <c r="H10" s="67" t="inlineStr"/>
      <c r="I10" s="67" t="inlineStr">
        <is>
          <t>✓</t>
        </is>
      </c>
      <c r="J10" s="68" t="n">
        <v>0.1205479452054795</v>
      </c>
    </row>
    <row r="11">
      <c r="A11" s="16" t="inlineStr">
        <is>
          <t>CEM. NUR ÇET.</t>
        </is>
      </c>
      <c r="B11" s="16" t="inlineStr">
        <is>
          <t>FSM</t>
        </is>
      </c>
      <c r="C11" s="16" t="inlineStr">
        <is>
          <t>ÇOCUK</t>
        </is>
      </c>
      <c r="D11" s="16" t="inlineStr">
        <is>
          <t>SATIŞ DANIŞMANI</t>
        </is>
      </c>
      <c r="E11" s="16" t="inlineStr">
        <is>
          <t>KADRO</t>
        </is>
      </c>
      <c r="F11" s="16" t="inlineStr">
        <is>
          <t>21.07.2026</t>
        </is>
      </c>
      <c r="G11" s="16" t="inlineStr"/>
      <c r="H11" s="67" t="inlineStr"/>
      <c r="I11" s="67" t="inlineStr">
        <is>
          <t>✓</t>
        </is>
      </c>
      <c r="J11" s="68" t="n">
        <v>0.1123287671232877</v>
      </c>
    </row>
    <row r="12">
      <c r="A12" s="16" t="inlineStr">
        <is>
          <t>SİN. ERS.</t>
        </is>
      </c>
      <c r="B12" s="16" t="inlineStr">
        <is>
          <t>FSM</t>
        </is>
      </c>
      <c r="C12" s="16" t="inlineStr">
        <is>
          <t>ÇOCUK</t>
        </is>
      </c>
      <c r="D12" s="16" t="inlineStr">
        <is>
          <t>SATIŞ DANIŞMANI</t>
        </is>
      </c>
      <c r="E12" s="16" t="inlineStr">
        <is>
          <t>KADRO</t>
        </is>
      </c>
      <c r="F12" s="16" t="inlineStr">
        <is>
          <t>24.08.2026</t>
        </is>
      </c>
      <c r="G12" s="16" t="inlineStr"/>
      <c r="H12" s="67" t="inlineStr"/>
      <c r="I12" s="67" t="inlineStr">
        <is>
          <t>✓</t>
        </is>
      </c>
      <c r="J12" s="68" t="n">
        <v>0.01917808219178082</v>
      </c>
    </row>
    <row r="13">
      <c r="A13" s="16" t="inlineStr">
        <is>
          <t>RÜM. SEN. SAĞ.</t>
        </is>
      </c>
      <c r="B13" s="16" t="inlineStr">
        <is>
          <t>FSM</t>
        </is>
      </c>
      <c r="C13" s="16" t="inlineStr">
        <is>
          <t>ETKİNLİK</t>
        </is>
      </c>
      <c r="D13" s="16" t="inlineStr">
        <is>
          <t>ETKİNLİK ORGANİZASYON SORUML.</t>
        </is>
      </c>
      <c r="E13" s="16" t="inlineStr">
        <is>
          <t>KADRO</t>
        </is>
      </c>
      <c r="F13" s="16" t="inlineStr">
        <is>
          <t>15.03.2023</t>
        </is>
      </c>
      <c r="G13" s="16" t="inlineStr">
        <is>
          <t>31.08.2026</t>
        </is>
      </c>
      <c r="H13" s="67" t="inlineStr">
        <is>
          <t>✓</t>
        </is>
      </c>
      <c r="I13" s="67" t="inlineStr">
        <is>
          <t>✓</t>
        </is>
      </c>
      <c r="J13" s="68" t="n">
        <v>3.465753424657534</v>
      </c>
    </row>
    <row r="14">
      <c r="A14" s="16" t="inlineStr">
        <is>
          <t>MER. AVŞ.</t>
        </is>
      </c>
      <c r="B14" s="16" t="inlineStr">
        <is>
          <t>FSM</t>
        </is>
      </c>
      <c r="C14" s="16" t="inlineStr">
        <is>
          <t>İDARİ İŞLER</t>
        </is>
      </c>
      <c r="D14" s="16" t="inlineStr">
        <is>
          <t>TEMİZLİK PERSONELİ</t>
        </is>
      </c>
      <c r="E14" s="16" t="inlineStr">
        <is>
          <t>KADRO</t>
        </is>
      </c>
      <c r="F14" s="16" t="inlineStr">
        <is>
          <t>20.02.2025</t>
        </is>
      </c>
      <c r="G14" s="16" t="inlineStr"/>
      <c r="H14" s="67" t="inlineStr">
        <is>
          <t>✓</t>
        </is>
      </c>
      <c r="I14" s="67" t="inlineStr">
        <is>
          <t>✓</t>
        </is>
      </c>
      <c r="J14" s="68" t="n">
        <v>1.526027397260274</v>
      </c>
    </row>
    <row r="15">
      <c r="A15" s="16" t="inlineStr">
        <is>
          <t>SEM. ÇEL.</t>
        </is>
      </c>
      <c r="B15" s="16" t="inlineStr">
        <is>
          <t>FSM</t>
        </is>
      </c>
      <c r="C15" s="16" t="inlineStr">
        <is>
          <t>İDARİ İŞLER</t>
        </is>
      </c>
      <c r="D15" s="16" t="inlineStr">
        <is>
          <t>TEMİZLİK PERSONELİ</t>
        </is>
      </c>
      <c r="E15" s="16" t="inlineStr">
        <is>
          <t>KADRO</t>
        </is>
      </c>
      <c r="F15" s="16" t="inlineStr">
        <is>
          <t>08.07.2025</t>
        </is>
      </c>
      <c r="G15" s="16" t="inlineStr">
        <is>
          <t>24.11.2025</t>
        </is>
      </c>
      <c r="H15" s="67" t="inlineStr">
        <is>
          <t>✓</t>
        </is>
      </c>
      <c r="I15" s="67" t="inlineStr"/>
      <c r="J15" s="68" t="n">
        <v>0.3808219178082192</v>
      </c>
    </row>
    <row r="16">
      <c r="A16" s="16" t="inlineStr">
        <is>
          <t>ZEL. ÖKT.</t>
        </is>
      </c>
      <c r="B16" s="16" t="inlineStr">
        <is>
          <t>FSM</t>
        </is>
      </c>
      <c r="C16" s="16" t="inlineStr">
        <is>
          <t>İDARİ İŞLER</t>
        </is>
      </c>
      <c r="D16" s="16" t="inlineStr">
        <is>
          <t>TEMİZLİK PERSONELİ</t>
        </is>
      </c>
      <c r="E16" s="16" t="inlineStr">
        <is>
          <t>KADRO</t>
        </is>
      </c>
      <c r="F16" s="16" t="inlineStr">
        <is>
          <t>21.04.2026</t>
        </is>
      </c>
      <c r="G16" s="16" t="inlineStr"/>
      <c r="H16" s="67" t="inlineStr"/>
      <c r="I16" s="67" t="inlineStr">
        <is>
          <t>✓</t>
        </is>
      </c>
      <c r="J16" s="68" t="n">
        <v>0.3616438356164384</v>
      </c>
    </row>
    <row r="17">
      <c r="A17" s="16" t="inlineStr">
        <is>
          <t>MEL. DUR.</t>
        </is>
      </c>
      <c r="B17" s="16" t="inlineStr">
        <is>
          <t>FSM</t>
        </is>
      </c>
      <c r="C17" s="16" t="inlineStr">
        <is>
          <t>KASA</t>
        </is>
      </c>
      <c r="D17" s="16" t="inlineStr">
        <is>
          <t>KASA ŞEFİ</t>
        </is>
      </c>
      <c r="E17" s="16" t="inlineStr">
        <is>
          <t>KADRO</t>
        </is>
      </c>
      <c r="F17" s="16" t="inlineStr">
        <is>
          <t>19.12.2023</t>
        </is>
      </c>
      <c r="G17" s="16" t="inlineStr"/>
      <c r="H17" s="67" t="inlineStr">
        <is>
          <t>✓</t>
        </is>
      </c>
      <c r="I17" s="67" t="inlineStr">
        <is>
          <t>✓</t>
        </is>
      </c>
      <c r="J17" s="68" t="n">
        <v>2.701369863013698</v>
      </c>
    </row>
    <row r="18">
      <c r="A18" s="16" t="inlineStr">
        <is>
          <t>HİL. BİN.</t>
        </is>
      </c>
      <c r="B18" s="16" t="inlineStr">
        <is>
          <t>FSM</t>
        </is>
      </c>
      <c r="C18" s="16" t="inlineStr">
        <is>
          <t>KASA</t>
        </is>
      </c>
      <c r="D18" s="16" t="inlineStr">
        <is>
          <t>KASİYER</t>
        </is>
      </c>
      <c r="E18" s="16" t="inlineStr">
        <is>
          <t>KADRO</t>
        </is>
      </c>
      <c r="F18" s="16" t="inlineStr">
        <is>
          <t>19.10.2024</t>
        </is>
      </c>
      <c r="G18" s="16" t="inlineStr">
        <is>
          <t>17.09.2025</t>
        </is>
      </c>
      <c r="H18" s="67" t="inlineStr">
        <is>
          <t>✓</t>
        </is>
      </c>
      <c r="I18" s="67" t="inlineStr"/>
      <c r="J18" s="68" t="n">
        <v>0.9123287671232877</v>
      </c>
    </row>
    <row r="19">
      <c r="A19" s="16" t="inlineStr">
        <is>
          <t>CER. TET.</t>
        </is>
      </c>
      <c r="B19" s="16" t="inlineStr">
        <is>
          <t>FSM</t>
        </is>
      </c>
      <c r="C19" s="16" t="inlineStr">
        <is>
          <t>KASA</t>
        </is>
      </c>
      <c r="D19" s="16" t="inlineStr">
        <is>
          <t>KASİYER</t>
        </is>
      </c>
      <c r="E19" s="16" t="inlineStr">
        <is>
          <t>KADRO</t>
        </is>
      </c>
      <c r="F19" s="16" t="inlineStr">
        <is>
          <t>18.03.2025</t>
        </is>
      </c>
      <c r="G19" s="16" t="inlineStr">
        <is>
          <t>28.11.2025</t>
        </is>
      </c>
      <c r="H19" s="67" t="inlineStr">
        <is>
          <t>✓</t>
        </is>
      </c>
      <c r="I19" s="67" t="inlineStr"/>
      <c r="J19" s="68" t="n">
        <v>0.6986301369863014</v>
      </c>
    </row>
    <row r="20">
      <c r="A20" s="16" t="inlineStr">
        <is>
          <t>MEL. GÜL.</t>
        </is>
      </c>
      <c r="B20" s="16" t="inlineStr">
        <is>
          <t>FSM</t>
        </is>
      </c>
      <c r="C20" s="16" t="inlineStr">
        <is>
          <t>KASA</t>
        </is>
      </c>
      <c r="D20" s="16" t="inlineStr">
        <is>
          <t>KASİYER</t>
        </is>
      </c>
      <c r="E20" s="16" t="inlineStr">
        <is>
          <t>KADRO</t>
        </is>
      </c>
      <c r="F20" s="16" t="inlineStr">
        <is>
          <t>21.03.2025</t>
        </is>
      </c>
      <c r="G20" s="16" t="inlineStr">
        <is>
          <t>28.11.2025</t>
        </is>
      </c>
      <c r="H20" s="67" t="inlineStr">
        <is>
          <t>✓</t>
        </is>
      </c>
      <c r="I20" s="67" t="inlineStr"/>
      <c r="J20" s="68" t="n">
        <v>0.6904109589041096</v>
      </c>
    </row>
    <row r="21">
      <c r="A21" s="16" t="inlineStr">
        <is>
          <t>SUD. TUA. UZS.</t>
        </is>
      </c>
      <c r="B21" s="16" t="inlineStr">
        <is>
          <t>FSM</t>
        </is>
      </c>
      <c r="C21" s="16" t="inlineStr">
        <is>
          <t>KASA</t>
        </is>
      </c>
      <c r="D21" s="16" t="inlineStr">
        <is>
          <t>KASİYER</t>
        </is>
      </c>
      <c r="E21" s="16" t="inlineStr">
        <is>
          <t>KADRO</t>
        </is>
      </c>
      <c r="F21" s="16" t="inlineStr">
        <is>
          <t>04.08.2025</t>
        </is>
      </c>
      <c r="G21" s="16" t="inlineStr">
        <is>
          <t>05.01.2026</t>
        </is>
      </c>
      <c r="H21" s="67" t="inlineStr">
        <is>
          <t>✓</t>
        </is>
      </c>
      <c r="I21" s="67" t="inlineStr"/>
      <c r="J21" s="68" t="n">
        <v>0.4219178082191781</v>
      </c>
    </row>
    <row r="22">
      <c r="A22" s="69" t="inlineStr">
        <is>
          <t>LAT. NUR. GÜL.</t>
        </is>
      </c>
      <c r="B22" s="69" t="inlineStr">
        <is>
          <t>FSM</t>
        </is>
      </c>
      <c r="C22" s="69" t="inlineStr">
        <is>
          <t>KASA</t>
        </is>
      </c>
      <c r="D22" s="69" t="inlineStr">
        <is>
          <t>KASİYER</t>
        </is>
      </c>
      <c r="E22" s="69" t="inlineStr">
        <is>
          <t>SEZONLUK</t>
        </is>
      </c>
      <c r="F22" s="69" t="inlineStr">
        <is>
          <t>19.08.2025</t>
        </is>
      </c>
      <c r="G22" s="69" t="inlineStr">
        <is>
          <t>25.09.2025</t>
        </is>
      </c>
      <c r="H22" s="70" t="inlineStr">
        <is>
          <t>✓</t>
        </is>
      </c>
      <c r="I22" s="70" t="inlineStr"/>
      <c r="J22" s="71" t="n">
        <v>0.1013698630136986</v>
      </c>
    </row>
    <row r="23">
      <c r="A23" s="16" t="inlineStr">
        <is>
          <t>ASL. ABB.</t>
        </is>
      </c>
      <c r="B23" s="16" t="inlineStr">
        <is>
          <t>FSM</t>
        </is>
      </c>
      <c r="C23" s="16" t="inlineStr">
        <is>
          <t>KASA</t>
        </is>
      </c>
      <c r="D23" s="16" t="inlineStr">
        <is>
          <t>KASA ŞEFİ YARDIMCISI</t>
        </is>
      </c>
      <c r="E23" s="16" t="inlineStr">
        <is>
          <t>KADRO</t>
        </is>
      </c>
      <c r="F23" s="16" t="inlineStr">
        <is>
          <t>30.12.2025</t>
        </is>
      </c>
      <c r="G23" s="16" t="inlineStr"/>
      <c r="H23" s="67" t="inlineStr"/>
      <c r="I23" s="67" t="inlineStr">
        <is>
          <t>✓</t>
        </is>
      </c>
      <c r="J23" s="68" t="n">
        <v>0.6684931506849315</v>
      </c>
    </row>
    <row r="24">
      <c r="A24" s="16" t="inlineStr">
        <is>
          <t>BEY. ARS.</t>
        </is>
      </c>
      <c r="B24" s="16" t="inlineStr">
        <is>
          <t>FSM</t>
        </is>
      </c>
      <c r="C24" s="16" t="inlineStr">
        <is>
          <t>KASA</t>
        </is>
      </c>
      <c r="D24" s="16" t="inlineStr">
        <is>
          <t>KASİYER</t>
        </is>
      </c>
      <c r="E24" s="16" t="inlineStr">
        <is>
          <t>KADRO</t>
        </is>
      </c>
      <c r="F24" s="16" t="inlineStr">
        <is>
          <t>07.01.2026</t>
        </is>
      </c>
      <c r="G24" s="16" t="inlineStr"/>
      <c r="H24" s="67" t="inlineStr"/>
      <c r="I24" s="67" t="inlineStr">
        <is>
          <t>✓</t>
        </is>
      </c>
      <c r="J24" s="68" t="n">
        <v>0.6465753424657534</v>
      </c>
    </row>
    <row r="25">
      <c r="A25" s="16" t="inlineStr">
        <is>
          <t>DİL. KUR.</t>
        </is>
      </c>
      <c r="B25" s="16" t="inlineStr">
        <is>
          <t>FSM</t>
        </is>
      </c>
      <c r="C25" s="16" t="inlineStr">
        <is>
          <t>KASA</t>
        </is>
      </c>
      <c r="D25" s="16" t="inlineStr">
        <is>
          <t>KASİYER</t>
        </is>
      </c>
      <c r="E25" s="16" t="inlineStr">
        <is>
          <t>KADRO</t>
        </is>
      </c>
      <c r="F25" s="16" t="inlineStr">
        <is>
          <t>01.08.2026</t>
        </is>
      </c>
      <c r="G25" s="16" t="inlineStr"/>
      <c r="H25" s="67" t="inlineStr"/>
      <c r="I25" s="67" t="inlineStr">
        <is>
          <t>✓</t>
        </is>
      </c>
      <c r="J25" s="68" t="n">
        <v>0.0821917808219178</v>
      </c>
    </row>
    <row r="26">
      <c r="A26" s="69" t="inlineStr">
        <is>
          <t>DUY. ROD.</t>
        </is>
      </c>
      <c r="B26" s="69" t="inlineStr">
        <is>
          <t>FSM</t>
        </is>
      </c>
      <c r="C26" s="69" t="inlineStr">
        <is>
          <t>KASA</t>
        </is>
      </c>
      <c r="D26" s="69" t="inlineStr">
        <is>
          <t>KASİYER</t>
        </is>
      </c>
      <c r="E26" s="69" t="inlineStr">
        <is>
          <t>SEZONLUK</t>
        </is>
      </c>
      <c r="F26" s="69" t="inlineStr">
        <is>
          <t>10.08.2026</t>
        </is>
      </c>
      <c r="G26" s="69" t="inlineStr"/>
      <c r="H26" s="70" t="inlineStr"/>
      <c r="I26" s="70" t="inlineStr">
        <is>
          <t>✓</t>
        </is>
      </c>
      <c r="J26" s="71" t="n">
        <v>0.05753424657534247</v>
      </c>
    </row>
    <row r="27">
      <c r="A27" s="69" t="inlineStr">
        <is>
          <t>HAL. RAB. ÇEL.</t>
        </is>
      </c>
      <c r="B27" s="69" t="inlineStr">
        <is>
          <t>FSM</t>
        </is>
      </c>
      <c r="C27" s="69" t="inlineStr">
        <is>
          <t>KASA</t>
        </is>
      </c>
      <c r="D27" s="69" t="inlineStr">
        <is>
          <t>KASİYER</t>
        </is>
      </c>
      <c r="E27" s="69" t="inlineStr">
        <is>
          <t>SEZONLUK</t>
        </is>
      </c>
      <c r="F27" s="69" t="inlineStr">
        <is>
          <t>17.08.2026</t>
        </is>
      </c>
      <c r="G27" s="69" t="inlineStr"/>
      <c r="H27" s="70" t="inlineStr"/>
      <c r="I27" s="70" t="inlineStr">
        <is>
          <t>✓</t>
        </is>
      </c>
      <c r="J27" s="71" t="n">
        <v>0.03835616438356165</v>
      </c>
    </row>
    <row r="28">
      <c r="A28" s="16" t="inlineStr">
        <is>
          <t>EBU. KIR.</t>
        </is>
      </c>
      <c r="B28" s="16" t="inlineStr">
        <is>
          <t>FSM</t>
        </is>
      </c>
      <c r="C28" s="16" t="inlineStr">
        <is>
          <t>KIRTASİYE</t>
        </is>
      </c>
      <c r="D28" s="16" t="inlineStr">
        <is>
          <t>REYON ŞEFİ</t>
        </is>
      </c>
      <c r="E28" s="16" t="inlineStr">
        <is>
          <t>KADRO</t>
        </is>
      </c>
      <c r="F28" s="16" t="inlineStr">
        <is>
          <t>16.05.2023</t>
        </is>
      </c>
      <c r="G28" s="16" t="inlineStr"/>
      <c r="H28" s="67" t="inlineStr">
        <is>
          <t>✓</t>
        </is>
      </c>
      <c r="I28" s="67" t="inlineStr">
        <is>
          <t>✓</t>
        </is>
      </c>
      <c r="J28" s="68" t="n">
        <v>3.295890410958904</v>
      </c>
    </row>
    <row r="29">
      <c r="A29" s="16" t="inlineStr">
        <is>
          <t>ŞER. BAK.</t>
        </is>
      </c>
      <c r="B29" s="16" t="inlineStr">
        <is>
          <t>FSM</t>
        </is>
      </c>
      <c r="C29" s="16" t="inlineStr">
        <is>
          <t>KIRTASİYE</t>
        </is>
      </c>
      <c r="D29" s="16" t="inlineStr">
        <is>
          <t>SATIŞ DANIŞMANI</t>
        </is>
      </c>
      <c r="E29" s="16" t="inlineStr">
        <is>
          <t>KADRO</t>
        </is>
      </c>
      <c r="F29" s="16" t="inlineStr">
        <is>
          <t>02.10.2023</t>
        </is>
      </c>
      <c r="G29" s="16" t="inlineStr"/>
      <c r="H29" s="67" t="inlineStr">
        <is>
          <t>✓</t>
        </is>
      </c>
      <c r="I29" s="67" t="inlineStr">
        <is>
          <t>✓</t>
        </is>
      </c>
      <c r="J29" s="68" t="n">
        <v>2.915068493150685</v>
      </c>
    </row>
    <row r="30">
      <c r="A30" s="16" t="inlineStr">
        <is>
          <t>ŞER. TUR.</t>
        </is>
      </c>
      <c r="B30" s="16" t="inlineStr">
        <is>
          <t>FSM</t>
        </is>
      </c>
      <c r="C30" s="16" t="inlineStr">
        <is>
          <t>KIRTASİYE</t>
        </is>
      </c>
      <c r="D30" s="16" t="inlineStr">
        <is>
          <t>SATIŞ DANIŞMANI</t>
        </is>
      </c>
      <c r="E30" s="16" t="inlineStr">
        <is>
          <t>KADRO</t>
        </is>
      </c>
      <c r="F30" s="16" t="inlineStr">
        <is>
          <t>03.12.2024</t>
        </is>
      </c>
      <c r="G30" s="16" t="inlineStr">
        <is>
          <t>13.05.2026</t>
        </is>
      </c>
      <c r="H30" s="67" t="inlineStr">
        <is>
          <t>✓</t>
        </is>
      </c>
      <c r="I30" s="67" t="inlineStr"/>
      <c r="J30" s="68" t="n">
        <v>1.441095890410959</v>
      </c>
    </row>
    <row r="31">
      <c r="A31" s="16" t="inlineStr">
        <is>
          <t>BAR. GÖK</t>
        </is>
      </c>
      <c r="B31" s="16" t="inlineStr">
        <is>
          <t>FSM</t>
        </is>
      </c>
      <c r="C31" s="16" t="inlineStr">
        <is>
          <t>KIRTASİYE</t>
        </is>
      </c>
      <c r="D31" s="16" t="inlineStr">
        <is>
          <t>SATIŞ DANIŞMANI</t>
        </is>
      </c>
      <c r="E31" s="16" t="inlineStr">
        <is>
          <t>KADRO</t>
        </is>
      </c>
      <c r="F31" s="16" t="inlineStr">
        <is>
          <t>13.12.2024</t>
        </is>
      </c>
      <c r="G31" s="16" t="inlineStr">
        <is>
          <t>05.05.2026</t>
        </is>
      </c>
      <c r="H31" s="67" t="inlineStr">
        <is>
          <t>✓</t>
        </is>
      </c>
      <c r="I31" s="67" t="inlineStr"/>
      <c r="J31" s="68" t="n">
        <v>1.391780821917808</v>
      </c>
    </row>
    <row r="32">
      <c r="A32" s="16" t="inlineStr">
        <is>
          <t>ÖME. ERB.</t>
        </is>
      </c>
      <c r="B32" s="16" t="inlineStr">
        <is>
          <t>FSM</t>
        </is>
      </c>
      <c r="C32" s="16" t="inlineStr">
        <is>
          <t>KIRTASİYE</t>
        </is>
      </c>
      <c r="D32" s="16" t="inlineStr">
        <is>
          <t>SATIŞ DANIŞMANI</t>
        </is>
      </c>
      <c r="E32" s="16" t="inlineStr">
        <is>
          <t>KADRO</t>
        </is>
      </c>
      <c r="F32" s="16" t="inlineStr">
        <is>
          <t>06.08.2025</t>
        </is>
      </c>
      <c r="G32" s="16" t="inlineStr">
        <is>
          <t>04.01.2026</t>
        </is>
      </c>
      <c r="H32" s="67" t="inlineStr">
        <is>
          <t>✓</t>
        </is>
      </c>
      <c r="I32" s="67" t="inlineStr"/>
      <c r="J32" s="68" t="n">
        <v>0.4136986301369863</v>
      </c>
    </row>
    <row r="33">
      <c r="A33" s="69" t="inlineStr">
        <is>
          <t>SAL. AKS.</t>
        </is>
      </c>
      <c r="B33" s="69" t="inlineStr">
        <is>
          <t>FSM</t>
        </is>
      </c>
      <c r="C33" s="69" t="inlineStr">
        <is>
          <t>KIRTASİYE</t>
        </is>
      </c>
      <c r="D33" s="69" t="inlineStr">
        <is>
          <t>SATIŞ DANIŞMANI</t>
        </is>
      </c>
      <c r="E33" s="69" t="inlineStr">
        <is>
          <t>SEZONLUK</t>
        </is>
      </c>
      <c r="F33" s="69" t="inlineStr">
        <is>
          <t>15.08.2025</t>
        </is>
      </c>
      <c r="G33" s="69" t="inlineStr">
        <is>
          <t>01.10.2025</t>
        </is>
      </c>
      <c r="H33" s="70" t="inlineStr">
        <is>
          <t>✓</t>
        </is>
      </c>
      <c r="I33" s="70" t="inlineStr"/>
      <c r="J33" s="71" t="n">
        <v>0.1287671232876712</v>
      </c>
    </row>
    <row r="34">
      <c r="A34" s="69" t="inlineStr">
        <is>
          <t>ÖME. SEL. ÇAK.</t>
        </is>
      </c>
      <c r="B34" s="69" t="inlineStr">
        <is>
          <t>FSM</t>
        </is>
      </c>
      <c r="C34" s="69" t="inlineStr">
        <is>
          <t>KIRTASİYE</t>
        </is>
      </c>
      <c r="D34" s="69" t="inlineStr">
        <is>
          <t>SATIŞ DANIŞMANI</t>
        </is>
      </c>
      <c r="E34" s="69" t="inlineStr">
        <is>
          <t>SEZONLUK</t>
        </is>
      </c>
      <c r="F34" s="69" t="inlineStr">
        <is>
          <t>15.08.2025</t>
        </is>
      </c>
      <c r="G34" s="69" t="inlineStr">
        <is>
          <t>31.08.2025</t>
        </is>
      </c>
      <c r="H34" s="70" t="inlineStr">
        <is>
          <t>✓</t>
        </is>
      </c>
      <c r="I34" s="70" t="inlineStr"/>
      <c r="J34" s="71" t="n">
        <v>0.04383561643835616</v>
      </c>
    </row>
    <row r="35">
      <c r="A35" s="69" t="inlineStr">
        <is>
          <t>FUR. YAM.</t>
        </is>
      </c>
      <c r="B35" s="69" t="inlineStr">
        <is>
          <t>FSM</t>
        </is>
      </c>
      <c r="C35" s="69" t="inlineStr">
        <is>
          <t>KIRTASİYE</t>
        </is>
      </c>
      <c r="D35" s="69" t="inlineStr">
        <is>
          <t>SATIŞ DANIŞMANI</t>
        </is>
      </c>
      <c r="E35" s="69" t="inlineStr">
        <is>
          <t>SEZONLUK</t>
        </is>
      </c>
      <c r="F35" s="69" t="inlineStr">
        <is>
          <t>25.08.2025</t>
        </is>
      </c>
      <c r="G35" s="69" t="inlineStr">
        <is>
          <t>03.10.2025</t>
        </is>
      </c>
      <c r="H35" s="70" t="inlineStr">
        <is>
          <t>✓</t>
        </is>
      </c>
      <c r="I35" s="70" t="inlineStr"/>
      <c r="J35" s="71" t="n">
        <v>0.1068493150684932</v>
      </c>
    </row>
    <row r="36">
      <c r="A36" s="69" t="inlineStr">
        <is>
          <t>BER. ŞAH.</t>
        </is>
      </c>
      <c r="B36" s="69" t="inlineStr">
        <is>
          <t>FSM</t>
        </is>
      </c>
      <c r="C36" s="69" t="inlineStr">
        <is>
          <t>KIRTASİYE</t>
        </is>
      </c>
      <c r="D36" s="69" t="inlineStr">
        <is>
          <t>SATIŞ DANIŞMANI</t>
        </is>
      </c>
      <c r="E36" s="69" t="inlineStr">
        <is>
          <t>SEZONLUK</t>
        </is>
      </c>
      <c r="F36" s="69" t="inlineStr">
        <is>
          <t>25.08.2025</t>
        </is>
      </c>
      <c r="G36" s="69" t="inlineStr">
        <is>
          <t>12.10.2025</t>
        </is>
      </c>
      <c r="H36" s="70" t="inlineStr">
        <is>
          <t>✓</t>
        </is>
      </c>
      <c r="I36" s="70" t="inlineStr"/>
      <c r="J36" s="71" t="n">
        <v>0.1315068493150685</v>
      </c>
    </row>
    <row r="37">
      <c r="A37" s="16" t="inlineStr">
        <is>
          <t>AHM. AYK.</t>
        </is>
      </c>
      <c r="B37" s="16" t="inlineStr">
        <is>
          <t>FSM</t>
        </is>
      </c>
      <c r="C37" s="16" t="inlineStr">
        <is>
          <t>KIRTASİYE</t>
        </is>
      </c>
      <c r="D37" s="16" t="inlineStr">
        <is>
          <t>SATIŞ DANIŞMANI</t>
        </is>
      </c>
      <c r="E37" s="16" t="inlineStr">
        <is>
          <t>KADRO</t>
        </is>
      </c>
      <c r="F37" s="16" t="inlineStr">
        <is>
          <t>28.04.2026</t>
        </is>
      </c>
      <c r="G37" s="16" t="inlineStr"/>
      <c r="H37" s="67" t="inlineStr"/>
      <c r="I37" s="67" t="inlineStr">
        <is>
          <t>✓</t>
        </is>
      </c>
      <c r="J37" s="68" t="n">
        <v>0.3424657534246575</v>
      </c>
    </row>
    <row r="38">
      <c r="A38" s="16" t="inlineStr">
        <is>
          <t>ELİ. DÜŞ.</t>
        </is>
      </c>
      <c r="B38" s="16" t="inlineStr">
        <is>
          <t>FSM</t>
        </is>
      </c>
      <c r="C38" s="16" t="inlineStr">
        <is>
          <t>KIRTASİYE</t>
        </is>
      </c>
      <c r="D38" s="16" t="inlineStr">
        <is>
          <t>SATIŞ DANIŞMANI</t>
        </is>
      </c>
      <c r="E38" s="16" t="inlineStr">
        <is>
          <t>KADRO</t>
        </is>
      </c>
      <c r="F38" s="16" t="inlineStr">
        <is>
          <t>05.05.2026</t>
        </is>
      </c>
      <c r="G38" s="16" t="inlineStr"/>
      <c r="H38" s="67" t="inlineStr"/>
      <c r="I38" s="67" t="inlineStr">
        <is>
          <t>✓</t>
        </is>
      </c>
      <c r="J38" s="68" t="n">
        <v>0.3232876712328767</v>
      </c>
    </row>
    <row r="39">
      <c r="A39" s="16" t="inlineStr">
        <is>
          <t>ÖME. ERB.</t>
        </is>
      </c>
      <c r="B39" s="16" t="inlineStr">
        <is>
          <t>FSM</t>
        </is>
      </c>
      <c r="C39" s="16" t="inlineStr">
        <is>
          <t>KIRTASİYE</t>
        </is>
      </c>
      <c r="D39" s="16" t="inlineStr">
        <is>
          <t>SATIŞ DANIŞMANI</t>
        </is>
      </c>
      <c r="E39" s="16" t="inlineStr">
        <is>
          <t>KADRO</t>
        </is>
      </c>
      <c r="F39" s="16" t="inlineStr">
        <is>
          <t>27.06.2026</t>
        </is>
      </c>
      <c r="G39" s="16" t="inlineStr"/>
      <c r="H39" s="67" t="inlineStr"/>
      <c r="I39" s="67" t="inlineStr">
        <is>
          <t>✓</t>
        </is>
      </c>
      <c r="J39" s="68" t="n">
        <v>0.1780821917808219</v>
      </c>
    </row>
    <row r="40">
      <c r="A40" s="16" t="inlineStr">
        <is>
          <t>İLA. AKI.</t>
        </is>
      </c>
      <c r="B40" s="16" t="inlineStr">
        <is>
          <t>FSM</t>
        </is>
      </c>
      <c r="C40" s="16" t="inlineStr">
        <is>
          <t>KIRTASİYE</t>
        </is>
      </c>
      <c r="D40" s="16" t="inlineStr">
        <is>
          <t>SATIŞ DANIŞMANI</t>
        </is>
      </c>
      <c r="E40" s="16" t="inlineStr">
        <is>
          <t>KADRO</t>
        </is>
      </c>
      <c r="F40" s="16" t="inlineStr">
        <is>
          <t>01.08.2026</t>
        </is>
      </c>
      <c r="G40" s="16" t="inlineStr"/>
      <c r="H40" s="67" t="inlineStr"/>
      <c r="I40" s="67" t="inlineStr">
        <is>
          <t>✓</t>
        </is>
      </c>
      <c r="J40" s="68" t="n">
        <v>0.0821917808219178</v>
      </c>
    </row>
    <row r="41">
      <c r="A41" s="69" t="inlineStr">
        <is>
          <t>MER. BİR.</t>
        </is>
      </c>
      <c r="B41" s="69" t="inlineStr">
        <is>
          <t>FSM</t>
        </is>
      </c>
      <c r="C41" s="69" t="inlineStr">
        <is>
          <t>KIRTASİYE</t>
        </is>
      </c>
      <c r="D41" s="69" t="inlineStr">
        <is>
          <t>SATIŞ DANIŞMANI</t>
        </is>
      </c>
      <c r="E41" s="69" t="inlineStr">
        <is>
          <t>SEZONLUK</t>
        </is>
      </c>
      <c r="F41" s="69" t="inlineStr">
        <is>
          <t>10.08.2026</t>
        </is>
      </c>
      <c r="G41" s="69" t="inlineStr"/>
      <c r="H41" s="70" t="inlineStr"/>
      <c r="I41" s="70" t="inlineStr">
        <is>
          <t>✓</t>
        </is>
      </c>
      <c r="J41" s="71" t="n">
        <v>0.05753424657534247</v>
      </c>
    </row>
    <row r="42">
      <c r="A42" s="69" t="inlineStr">
        <is>
          <t>YAS. SEV. YAN.</t>
        </is>
      </c>
      <c r="B42" s="69" t="inlineStr">
        <is>
          <t>FSM</t>
        </is>
      </c>
      <c r="C42" s="69" t="inlineStr">
        <is>
          <t>KIRTASİYE</t>
        </is>
      </c>
      <c r="D42" s="69" t="inlineStr">
        <is>
          <t>SATIŞ DANIŞMANI</t>
        </is>
      </c>
      <c r="E42" s="69" t="inlineStr">
        <is>
          <t>SEZONLUK</t>
        </is>
      </c>
      <c r="F42" s="69" t="inlineStr">
        <is>
          <t>14.08.2026</t>
        </is>
      </c>
      <c r="G42" s="69" t="inlineStr"/>
      <c r="H42" s="70" t="inlineStr"/>
      <c r="I42" s="70" t="inlineStr">
        <is>
          <t>✓</t>
        </is>
      </c>
      <c r="J42" s="71" t="n">
        <v>0.04657534246575343</v>
      </c>
    </row>
    <row r="43">
      <c r="A43" s="69" t="inlineStr">
        <is>
          <t>ERD. ARD. DEM.</t>
        </is>
      </c>
      <c r="B43" s="69" t="inlineStr">
        <is>
          <t>FSM</t>
        </is>
      </c>
      <c r="C43" s="69" t="inlineStr">
        <is>
          <t>KIRTASİYE</t>
        </is>
      </c>
      <c r="D43" s="69" t="inlineStr">
        <is>
          <t>SATIŞ DANIŞMANI</t>
        </is>
      </c>
      <c r="E43" s="69" t="inlineStr">
        <is>
          <t>SEZONLUK</t>
        </is>
      </c>
      <c r="F43" s="69" t="inlineStr">
        <is>
          <t>15.08.2026</t>
        </is>
      </c>
      <c r="G43" s="69" t="inlineStr"/>
      <c r="H43" s="70" t="inlineStr"/>
      <c r="I43" s="70" t="inlineStr">
        <is>
          <t>✓</t>
        </is>
      </c>
      <c r="J43" s="71" t="n">
        <v>0.04383561643835616</v>
      </c>
    </row>
    <row r="44">
      <c r="A44" s="69" t="inlineStr">
        <is>
          <t>CEY. ÇİL.</t>
        </is>
      </c>
      <c r="B44" s="69" t="inlineStr">
        <is>
          <t>FSM</t>
        </is>
      </c>
      <c r="C44" s="69" t="inlineStr">
        <is>
          <t>KIRTASİYE</t>
        </is>
      </c>
      <c r="D44" s="69" t="inlineStr">
        <is>
          <t>SATIŞ DANIŞMANI</t>
        </is>
      </c>
      <c r="E44" s="69" t="inlineStr">
        <is>
          <t>SEZONLUK</t>
        </is>
      </c>
      <c r="F44" s="69" t="inlineStr">
        <is>
          <t>18.08.2026</t>
        </is>
      </c>
      <c r="G44" s="69" t="inlineStr"/>
      <c r="H44" s="70" t="inlineStr"/>
      <c r="I44" s="70" t="inlineStr">
        <is>
          <t>✓</t>
        </is>
      </c>
      <c r="J44" s="71" t="n">
        <v>0.03561643835616438</v>
      </c>
    </row>
    <row r="45">
      <c r="A45" s="16" t="inlineStr">
        <is>
          <t>ENV. CAN</t>
        </is>
      </c>
      <c r="B45" s="16" t="inlineStr">
        <is>
          <t>FSM</t>
        </is>
      </c>
      <c r="C45" s="16" t="inlineStr">
        <is>
          <t>KÜLTÜR</t>
        </is>
      </c>
      <c r="D45" s="16" t="inlineStr">
        <is>
          <t>REYON ŞEFİ</t>
        </is>
      </c>
      <c r="E45" s="16" t="inlineStr">
        <is>
          <t>KADRO</t>
        </is>
      </c>
      <c r="F45" s="16" t="inlineStr">
        <is>
          <t>25.01.2020</t>
        </is>
      </c>
      <c r="G45" s="16" t="inlineStr"/>
      <c r="H45" s="67" t="inlineStr">
        <is>
          <t>✓</t>
        </is>
      </c>
      <c r="I45" s="67" t="inlineStr">
        <is>
          <t>✓</t>
        </is>
      </c>
      <c r="J45" s="68" t="n">
        <v>6.602739726027397</v>
      </c>
    </row>
    <row r="46">
      <c r="A46" s="16" t="inlineStr">
        <is>
          <t>NEF. YIL.</t>
        </is>
      </c>
      <c r="B46" s="16" t="inlineStr">
        <is>
          <t>FSM</t>
        </is>
      </c>
      <c r="C46" s="16" t="inlineStr">
        <is>
          <t>KÜLTÜR</t>
        </is>
      </c>
      <c r="D46" s="16" t="inlineStr">
        <is>
          <t>SATIŞ DANIŞMANI</t>
        </is>
      </c>
      <c r="E46" s="16" t="inlineStr">
        <is>
          <t>KADRO</t>
        </is>
      </c>
      <c r="F46" s="16" t="inlineStr">
        <is>
          <t>30.05.2024</t>
        </is>
      </c>
      <c r="G46" s="16" t="inlineStr"/>
      <c r="H46" s="67" t="inlineStr">
        <is>
          <t>✓</t>
        </is>
      </c>
      <c r="I46" s="67" t="inlineStr">
        <is>
          <t>✓</t>
        </is>
      </c>
      <c r="J46" s="68" t="n">
        <v>2.254794520547945</v>
      </c>
    </row>
    <row r="47">
      <c r="A47" s="16" t="inlineStr">
        <is>
          <t>GÖK. AKB.</t>
        </is>
      </c>
      <c r="B47" s="16" t="inlineStr">
        <is>
          <t>FSM</t>
        </is>
      </c>
      <c r="C47" s="16" t="inlineStr">
        <is>
          <t>KÜLTÜR</t>
        </is>
      </c>
      <c r="D47" s="16" t="inlineStr">
        <is>
          <t>SATIŞ DANIŞMANI</t>
        </is>
      </c>
      <c r="E47" s="16" t="inlineStr">
        <is>
          <t>KADRO</t>
        </is>
      </c>
      <c r="F47" s="16" t="inlineStr">
        <is>
          <t>07.12.2024</t>
        </is>
      </c>
      <c r="G47" s="16" t="inlineStr"/>
      <c r="H47" s="67" t="inlineStr">
        <is>
          <t>✓</t>
        </is>
      </c>
      <c r="I47" s="67" t="inlineStr">
        <is>
          <t>✓</t>
        </is>
      </c>
      <c r="J47" s="68" t="n">
        <v>1.731506849315068</v>
      </c>
    </row>
    <row r="48">
      <c r="A48" s="16" t="inlineStr">
        <is>
          <t>MEH. ARİ. DEM.</t>
        </is>
      </c>
      <c r="B48" s="16" t="inlineStr">
        <is>
          <t>FSM</t>
        </is>
      </c>
      <c r="C48" s="16" t="inlineStr">
        <is>
          <t>KÜLTÜR</t>
        </is>
      </c>
      <c r="D48" s="16" t="inlineStr">
        <is>
          <t>SATIŞ DANIŞMANI</t>
        </is>
      </c>
      <c r="E48" s="16" t="inlineStr">
        <is>
          <t>KADRO</t>
        </is>
      </c>
      <c r="F48" s="16" t="inlineStr">
        <is>
          <t>22.01.2025</t>
        </is>
      </c>
      <c r="G48" s="16" t="inlineStr">
        <is>
          <t>30.09.2025</t>
        </is>
      </c>
      <c r="H48" s="67" t="inlineStr">
        <is>
          <t>✓</t>
        </is>
      </c>
      <c r="I48" s="67" t="inlineStr"/>
      <c r="J48" s="68" t="n">
        <v>0.6876712328767123</v>
      </c>
    </row>
    <row r="49">
      <c r="A49" s="16" t="inlineStr">
        <is>
          <t>EMİ. ALİ BUL.</t>
        </is>
      </c>
      <c r="B49" s="16" t="inlineStr">
        <is>
          <t>FSM</t>
        </is>
      </c>
      <c r="C49" s="16" t="inlineStr">
        <is>
          <t>KÜLTÜR</t>
        </is>
      </c>
      <c r="D49" s="16" t="inlineStr">
        <is>
          <t>SATIŞ DANIŞMANI</t>
        </is>
      </c>
      <c r="E49" s="16" t="inlineStr">
        <is>
          <t>KADRO</t>
        </is>
      </c>
      <c r="F49" s="16" t="inlineStr">
        <is>
          <t>01.03.2025</t>
        </is>
      </c>
      <c r="G49" s="16" t="inlineStr">
        <is>
          <t>15.03.2026</t>
        </is>
      </c>
      <c r="H49" s="67" t="inlineStr">
        <is>
          <t>✓</t>
        </is>
      </c>
      <c r="I49" s="67" t="inlineStr"/>
      <c r="J49" s="68" t="n">
        <v>1.038356164383562</v>
      </c>
    </row>
    <row r="50">
      <c r="A50" s="16" t="inlineStr">
        <is>
          <t>MUH. TAL. ŞAR.</t>
        </is>
      </c>
      <c r="B50" s="16" t="inlineStr">
        <is>
          <t>FSM</t>
        </is>
      </c>
      <c r="C50" s="16" t="inlineStr">
        <is>
          <t>KÜLTÜR</t>
        </is>
      </c>
      <c r="D50" s="16" t="inlineStr">
        <is>
          <t>SATIŞ DANIŞMANI</t>
        </is>
      </c>
      <c r="E50" s="16" t="inlineStr">
        <is>
          <t>KADRO</t>
        </is>
      </c>
      <c r="F50" s="16" t="inlineStr">
        <is>
          <t>07.03.2025</t>
        </is>
      </c>
      <c r="G50" s="16" t="inlineStr"/>
      <c r="H50" s="67" t="inlineStr">
        <is>
          <t>✓</t>
        </is>
      </c>
      <c r="I50" s="67" t="inlineStr">
        <is>
          <t>✓</t>
        </is>
      </c>
      <c r="J50" s="68" t="n">
        <v>1.484931506849315</v>
      </c>
    </row>
    <row r="51">
      <c r="A51" s="16" t="inlineStr">
        <is>
          <t>FUR. DEM.</t>
        </is>
      </c>
      <c r="B51" s="16" t="inlineStr">
        <is>
          <t>FSM</t>
        </is>
      </c>
      <c r="C51" s="16" t="inlineStr">
        <is>
          <t>KÜLTÜR</t>
        </is>
      </c>
      <c r="D51" s="16" t="inlineStr">
        <is>
          <t>SATIŞ DANIŞMANI</t>
        </is>
      </c>
      <c r="E51" s="16" t="inlineStr">
        <is>
          <t>KADRO</t>
        </is>
      </c>
      <c r="F51" s="16" t="inlineStr">
        <is>
          <t>01.07.2026</t>
        </is>
      </c>
      <c r="G51" s="16" t="inlineStr">
        <is>
          <t>31.08.2026</t>
        </is>
      </c>
      <c r="H51" s="67" t="inlineStr"/>
      <c r="I51" s="67" t="inlineStr">
        <is>
          <t>✓</t>
        </is>
      </c>
      <c r="J51" s="68" t="n">
        <v>0.1671232876712329</v>
      </c>
    </row>
    <row r="52">
      <c r="A52" s="69" t="inlineStr">
        <is>
          <t>REC. KAL.</t>
        </is>
      </c>
      <c r="B52" s="69" t="inlineStr">
        <is>
          <t>FSM</t>
        </is>
      </c>
      <c r="C52" s="69" t="inlineStr">
        <is>
          <t>KÜLTÜR</t>
        </is>
      </c>
      <c r="D52" s="69" t="inlineStr">
        <is>
          <t>SATIŞ DANIŞMANI</t>
        </is>
      </c>
      <c r="E52" s="69" t="inlineStr">
        <is>
          <t>SEZONLUK</t>
        </is>
      </c>
      <c r="F52" s="69" t="inlineStr">
        <is>
          <t>25.08.2026</t>
        </is>
      </c>
      <c r="G52" s="69" t="inlineStr"/>
      <c r="H52" s="70" t="inlineStr"/>
      <c r="I52" s="70" t="inlineStr">
        <is>
          <t>✓</t>
        </is>
      </c>
      <c r="J52" s="71" t="n">
        <v>0.01643835616438356</v>
      </c>
    </row>
    <row r="53">
      <c r="A53" s="16" t="inlineStr">
        <is>
          <t>RES. ÇİL</t>
        </is>
      </c>
      <c r="B53" s="16" t="inlineStr">
        <is>
          <t>FSM</t>
        </is>
      </c>
      <c r="C53" s="16" t="inlineStr">
        <is>
          <t>MAĞAZA</t>
        </is>
      </c>
      <c r="D53" s="16" t="inlineStr">
        <is>
          <t>MAĞAZA MÜDÜRÜ</t>
        </is>
      </c>
      <c r="E53" s="16" t="inlineStr">
        <is>
          <t>KADRO</t>
        </is>
      </c>
      <c r="F53" s="16" t="inlineStr">
        <is>
          <t>01.12.2020</t>
        </is>
      </c>
      <c r="G53" s="16" t="inlineStr"/>
      <c r="H53" s="67" t="inlineStr">
        <is>
          <t>✓</t>
        </is>
      </c>
      <c r="I53" s="67" t="inlineStr">
        <is>
          <t>✓</t>
        </is>
      </c>
      <c r="J53" s="68" t="n">
        <v>5.750684931506849</v>
      </c>
    </row>
    <row r="54">
      <c r="A54" s="16" t="inlineStr">
        <is>
          <t>MEH. KEL.</t>
        </is>
      </c>
      <c r="B54" s="16" t="inlineStr">
        <is>
          <t>FSM</t>
        </is>
      </c>
      <c r="C54" s="16" t="inlineStr">
        <is>
          <t>MAĞAZA</t>
        </is>
      </c>
      <c r="D54" s="16" t="inlineStr">
        <is>
          <t>MAĞAZA MÜDÜR YRD.</t>
        </is>
      </c>
      <c r="E54" s="16" t="inlineStr">
        <is>
          <t>KADRO</t>
        </is>
      </c>
      <c r="F54" s="16" t="inlineStr">
        <is>
          <t>17.12.2022</t>
        </is>
      </c>
      <c r="G54" s="16" t="inlineStr">
        <is>
          <t>31.07.2026</t>
        </is>
      </c>
      <c r="H54" s="67" t="inlineStr">
        <is>
          <t>✓</t>
        </is>
      </c>
      <c r="I54" s="67" t="inlineStr"/>
      <c r="J54" s="68" t="n">
        <v>3.621917808219178</v>
      </c>
    </row>
    <row r="55">
      <c r="A55" s="16" t="inlineStr">
        <is>
          <t>NEC. ÇEL.</t>
        </is>
      </c>
      <c r="B55" s="16" t="inlineStr">
        <is>
          <t>FSM</t>
        </is>
      </c>
      <c r="C55" s="16" t="inlineStr">
        <is>
          <t>MAĞAZA</t>
        </is>
      </c>
      <c r="D55" s="16" t="inlineStr">
        <is>
          <t>MAĞAZA MÜDÜR YRD.</t>
        </is>
      </c>
      <c r="E55" s="16" t="inlineStr">
        <is>
          <t>KADRO</t>
        </is>
      </c>
      <c r="F55" s="16" t="inlineStr">
        <is>
          <t>05.01.2026</t>
        </is>
      </c>
      <c r="G55" s="16" t="inlineStr"/>
      <c r="H55" s="67" t="inlineStr"/>
      <c r="I55" s="67" t="inlineStr">
        <is>
          <t>✓</t>
        </is>
      </c>
      <c r="J55" s="68" t="n">
        <v>0.6520547945205479</v>
      </c>
    </row>
    <row r="56">
      <c r="A56" s="16" t="inlineStr">
        <is>
          <t>MEL. TOP.</t>
        </is>
      </c>
      <c r="B56" s="16" t="inlineStr">
        <is>
          <t>FSM</t>
        </is>
      </c>
      <c r="C56" s="16" t="inlineStr">
        <is>
          <t>MAL KABUL</t>
        </is>
      </c>
      <c r="D56" s="16" t="inlineStr">
        <is>
          <t>MAL KABUL PERSONELİ</t>
        </is>
      </c>
      <c r="E56" s="16" t="inlineStr">
        <is>
          <t>KADRO</t>
        </is>
      </c>
      <c r="F56" s="16" t="inlineStr">
        <is>
          <t>19.04.2021</t>
        </is>
      </c>
      <c r="G56" s="16" t="inlineStr"/>
      <c r="H56" s="67" t="inlineStr">
        <is>
          <t>✓</t>
        </is>
      </c>
      <c r="I56" s="67" t="inlineStr">
        <is>
          <t>✓</t>
        </is>
      </c>
      <c r="J56" s="68" t="n">
        <v>5.36986301369863</v>
      </c>
    </row>
    <row r="57">
      <c r="A57" s="16" t="inlineStr">
        <is>
          <t>ADE. ÖZT.</t>
        </is>
      </c>
      <c r="B57" s="16" t="inlineStr">
        <is>
          <t>FSM</t>
        </is>
      </c>
      <c r="C57" s="16" t="inlineStr">
        <is>
          <t>MAL KABUL</t>
        </is>
      </c>
      <c r="D57" s="16" t="inlineStr">
        <is>
          <t>MAL KABUL PERSONELİ</t>
        </is>
      </c>
      <c r="E57" s="16" t="inlineStr">
        <is>
          <t>KADRO</t>
        </is>
      </c>
      <c r="F57" s="16" t="inlineStr">
        <is>
          <t>18.07.2024</t>
        </is>
      </c>
      <c r="G57" s="16" t="inlineStr">
        <is>
          <t>31.08.2025</t>
        </is>
      </c>
      <c r="H57" s="67" t="inlineStr">
        <is>
          <t>✓</t>
        </is>
      </c>
      <c r="I57" s="67" t="inlineStr"/>
      <c r="J57" s="68" t="n">
        <v>1.120547945205479</v>
      </c>
    </row>
    <row r="58">
      <c r="A58" s="69" t="inlineStr">
        <is>
          <t>MUH. EMS.</t>
        </is>
      </c>
      <c r="B58" s="69" t="inlineStr">
        <is>
          <t>FSM</t>
        </is>
      </c>
      <c r="C58" s="69" t="inlineStr">
        <is>
          <t>MAL KABUL</t>
        </is>
      </c>
      <c r="D58" s="69" t="inlineStr">
        <is>
          <t>MAL KABUL PERSONELİ</t>
        </is>
      </c>
      <c r="E58" s="69" t="inlineStr">
        <is>
          <t>SEZONLUK</t>
        </is>
      </c>
      <c r="F58" s="69" t="inlineStr">
        <is>
          <t>11.08.2025</t>
        </is>
      </c>
      <c r="G58" s="69" t="inlineStr">
        <is>
          <t>07.06.2026</t>
        </is>
      </c>
      <c r="H58" s="70" t="inlineStr">
        <is>
          <t>✓</t>
        </is>
      </c>
      <c r="I58" s="70" t="inlineStr"/>
      <c r="J58" s="71" t="n">
        <v>0.821917808219178</v>
      </c>
    </row>
    <row r="59">
      <c r="A59" s="69" t="inlineStr">
        <is>
          <t>MER. SAR.</t>
        </is>
      </c>
      <c r="B59" s="69" t="inlineStr">
        <is>
          <t>FSM</t>
        </is>
      </c>
      <c r="C59" s="69" t="inlineStr">
        <is>
          <t>MAL KABUL</t>
        </is>
      </c>
      <c r="D59" s="69" t="inlineStr">
        <is>
          <t>MAL KABUL PERSONELİ</t>
        </is>
      </c>
      <c r="E59" s="69" t="inlineStr">
        <is>
          <t>SEZONLUK</t>
        </is>
      </c>
      <c r="F59" s="69" t="inlineStr">
        <is>
          <t>01.07.2026</t>
        </is>
      </c>
      <c r="G59" s="69" t="inlineStr"/>
      <c r="H59" s="70" t="inlineStr"/>
      <c r="I59" s="70" t="inlineStr">
        <is>
          <t>✓</t>
        </is>
      </c>
      <c r="J59" s="71" t="n">
        <v>0.1671232876712329</v>
      </c>
    </row>
    <row r="60">
      <c r="A60" s="16" t="inlineStr">
        <is>
          <t>DUD. SEL. DİK.</t>
        </is>
      </c>
      <c r="B60" s="16" t="inlineStr">
        <is>
          <t>FSM</t>
        </is>
      </c>
      <c r="C60" s="16" t="inlineStr">
        <is>
          <t>OYUNCAK</t>
        </is>
      </c>
      <c r="D60" s="16" t="inlineStr">
        <is>
          <t>REYON ŞEFİ</t>
        </is>
      </c>
      <c r="E60" s="16" t="inlineStr">
        <is>
          <t>KADRO</t>
        </is>
      </c>
      <c r="F60" s="16" t="inlineStr">
        <is>
          <t>11.04.2025</t>
        </is>
      </c>
      <c r="G60" s="16" t="inlineStr"/>
      <c r="H60" s="67" t="inlineStr">
        <is>
          <t>✓</t>
        </is>
      </c>
      <c r="I60" s="67" t="inlineStr">
        <is>
          <t>✓</t>
        </is>
      </c>
      <c r="J60" s="68" t="n">
        <v>1.389041095890411</v>
      </c>
    </row>
    <row r="61">
      <c r="A61" s="16" t="inlineStr">
        <is>
          <t>SEF. ÜLG.</t>
        </is>
      </c>
      <c r="B61" s="16" t="inlineStr">
        <is>
          <t>FSM</t>
        </is>
      </c>
      <c r="C61" s="16" t="inlineStr">
        <is>
          <t>OYUNCAK</t>
        </is>
      </c>
      <c r="D61" s="16" t="inlineStr">
        <is>
          <t>SATIŞ DANIŞMANI</t>
        </is>
      </c>
      <c r="E61" s="16" t="inlineStr">
        <is>
          <t>KADRO</t>
        </is>
      </c>
      <c r="F61" s="16" t="inlineStr">
        <is>
          <t>31.07.2025</t>
        </is>
      </c>
      <c r="G61" s="16" t="inlineStr">
        <is>
          <t>30.09.2025</t>
        </is>
      </c>
      <c r="H61" s="67" t="inlineStr">
        <is>
          <t>✓</t>
        </is>
      </c>
      <c r="I61" s="67" t="inlineStr"/>
      <c r="J61" s="68" t="n">
        <v>0.1671232876712329</v>
      </c>
    </row>
    <row r="62">
      <c r="A62" s="16" t="inlineStr">
        <is>
          <t>VOL. KUR.</t>
        </is>
      </c>
      <c r="B62" s="16" t="inlineStr">
        <is>
          <t>FSM</t>
        </is>
      </c>
      <c r="C62" s="16" t="inlineStr">
        <is>
          <t>OYUNCAK</t>
        </is>
      </c>
      <c r="D62" s="16" t="inlineStr">
        <is>
          <t>SATIŞ DANIŞMANI</t>
        </is>
      </c>
      <c r="E62" s="16" t="inlineStr">
        <is>
          <t>KADRO</t>
        </is>
      </c>
      <c r="F62" s="16" t="inlineStr">
        <is>
          <t>28.08.2025</t>
        </is>
      </c>
      <c r="G62" s="16" t="inlineStr">
        <is>
          <t>09.12.2025</t>
        </is>
      </c>
      <c r="H62" s="67" t="inlineStr">
        <is>
          <t>✓</t>
        </is>
      </c>
      <c r="I62" s="67" t="inlineStr"/>
      <c r="J62" s="68" t="n">
        <v>0.2821917808219178</v>
      </c>
    </row>
    <row r="63">
      <c r="A63" s="16" t="inlineStr">
        <is>
          <t>EMR. SEN.</t>
        </is>
      </c>
      <c r="B63" s="16" t="inlineStr">
        <is>
          <t>FSM</t>
        </is>
      </c>
      <c r="C63" s="16" t="inlineStr">
        <is>
          <t>OYUNCAK</t>
        </is>
      </c>
      <c r="D63" s="16" t="inlineStr">
        <is>
          <t>SATIŞ DANIŞMANI</t>
        </is>
      </c>
      <c r="E63" s="16" t="inlineStr">
        <is>
          <t>KADRO</t>
        </is>
      </c>
      <c r="F63" s="16" t="inlineStr">
        <is>
          <t>07.10.2025</t>
        </is>
      </c>
      <c r="G63" s="16" t="inlineStr"/>
      <c r="H63" s="67" t="inlineStr"/>
      <c r="I63" s="67" t="inlineStr">
        <is>
          <t>✓</t>
        </is>
      </c>
      <c r="J63" s="68" t="n">
        <v>0.8986301369863013</v>
      </c>
    </row>
    <row r="64">
      <c r="A64" s="16" t="inlineStr">
        <is>
          <t>BAT. DEM.</t>
        </is>
      </c>
      <c r="B64" s="16" t="inlineStr">
        <is>
          <t>FSM</t>
        </is>
      </c>
      <c r="C64" s="16" t="inlineStr">
        <is>
          <t>OYUNCAK</t>
        </is>
      </c>
      <c r="D64" s="16" t="inlineStr">
        <is>
          <t>SATIŞ DANIŞMANI</t>
        </is>
      </c>
      <c r="E64" s="16" t="inlineStr">
        <is>
          <t>KADRO</t>
        </is>
      </c>
      <c r="F64" s="16" t="inlineStr">
        <is>
          <t>01.07.2026</t>
        </is>
      </c>
      <c r="G64" s="16" t="inlineStr"/>
      <c r="H64" s="67" t="inlineStr"/>
      <c r="I64" s="67" t="inlineStr">
        <is>
          <t>✓</t>
        </is>
      </c>
      <c r="J64" s="68" t="n">
        <v>0.1671232876712329</v>
      </c>
    </row>
    <row r="65">
      <c r="A65" s="16" t="inlineStr">
        <is>
          <t>YIL. KAR.</t>
        </is>
      </c>
      <c r="B65" s="16" t="inlineStr">
        <is>
          <t>FSM</t>
        </is>
      </c>
      <c r="C65" s="16" t="inlineStr">
        <is>
          <t>YARDIMCI KİTAP</t>
        </is>
      </c>
      <c r="D65" s="16" t="inlineStr">
        <is>
          <t>REYON ŞEFİ</t>
        </is>
      </c>
      <c r="E65" s="16" t="inlineStr">
        <is>
          <t>KADRO</t>
        </is>
      </c>
      <c r="F65" s="16" t="inlineStr">
        <is>
          <t>21.08.2021</t>
        </is>
      </c>
      <c r="G65" s="16" t="inlineStr"/>
      <c r="H65" s="67" t="inlineStr">
        <is>
          <t>✓</t>
        </is>
      </c>
      <c r="I65" s="67" t="inlineStr">
        <is>
          <t>✓</t>
        </is>
      </c>
      <c r="J65" s="68" t="n">
        <v>5.03013698630137</v>
      </c>
    </row>
    <row r="66">
      <c r="A66" s="16" t="inlineStr">
        <is>
          <t>ENE. KAR.</t>
        </is>
      </c>
      <c r="B66" s="16" t="inlineStr">
        <is>
          <t>FSM</t>
        </is>
      </c>
      <c r="C66" s="16" t="inlineStr">
        <is>
          <t>YARDIMCI KİTAP</t>
        </is>
      </c>
      <c r="D66" s="16" t="inlineStr">
        <is>
          <t>SATIŞ DANIŞMANI</t>
        </is>
      </c>
      <c r="E66" s="16" t="inlineStr">
        <is>
          <t>KADRO</t>
        </is>
      </c>
      <c r="F66" s="16" t="inlineStr">
        <is>
          <t>02.01.2025</t>
        </is>
      </c>
      <c r="G66" s="16" t="inlineStr">
        <is>
          <t>05.04.2026</t>
        </is>
      </c>
      <c r="H66" s="67" t="inlineStr">
        <is>
          <t>✓</t>
        </is>
      </c>
      <c r="I66" s="67" t="inlineStr"/>
      <c r="J66" s="68" t="n">
        <v>1.254794520547945</v>
      </c>
    </row>
    <row r="67">
      <c r="A67" s="16" t="inlineStr">
        <is>
          <t>KAD. BAY.</t>
        </is>
      </c>
      <c r="B67" s="16" t="inlineStr">
        <is>
          <t>FSM</t>
        </is>
      </c>
      <c r="C67" s="16" t="inlineStr">
        <is>
          <t>YARDIMCI KİTAP</t>
        </is>
      </c>
      <c r="D67" s="16" t="inlineStr">
        <is>
          <t>SATIŞ DANIŞMANI</t>
        </is>
      </c>
      <c r="E67" s="16" t="inlineStr">
        <is>
          <t>KADRO</t>
        </is>
      </c>
      <c r="F67" s="16" t="inlineStr">
        <is>
          <t>04.02.2025</t>
        </is>
      </c>
      <c r="G67" s="16" t="inlineStr"/>
      <c r="H67" s="67" t="inlineStr">
        <is>
          <t>✓</t>
        </is>
      </c>
      <c r="I67" s="67" t="inlineStr">
        <is>
          <t>✓</t>
        </is>
      </c>
      <c r="J67" s="68" t="n">
        <v>1.56986301369863</v>
      </c>
    </row>
    <row r="68">
      <c r="A68" s="69" t="inlineStr">
        <is>
          <t>FUR. GÜR.</t>
        </is>
      </c>
      <c r="B68" s="69" t="inlineStr">
        <is>
          <t>FSM</t>
        </is>
      </c>
      <c r="C68" s="69" t="inlineStr">
        <is>
          <t>YARDIMCI KİTAP</t>
        </is>
      </c>
      <c r="D68" s="69" t="inlineStr">
        <is>
          <t>SATIŞ DANIŞMANI</t>
        </is>
      </c>
      <c r="E68" s="69" t="inlineStr">
        <is>
          <t>SEZONLUK</t>
        </is>
      </c>
      <c r="F68" s="69" t="inlineStr">
        <is>
          <t>15.08.2025</t>
        </is>
      </c>
      <c r="G68" s="69" t="inlineStr">
        <is>
          <t>28.09.2025</t>
        </is>
      </c>
      <c r="H68" s="70" t="inlineStr">
        <is>
          <t>✓</t>
        </is>
      </c>
      <c r="I68" s="70" t="inlineStr"/>
      <c r="J68" s="71" t="n">
        <v>0.1205479452054795</v>
      </c>
    </row>
    <row r="69">
      <c r="A69" s="69" t="inlineStr">
        <is>
          <t>MEH. GÖR. GEN.</t>
        </is>
      </c>
      <c r="B69" s="69" t="inlineStr">
        <is>
          <t>FSM</t>
        </is>
      </c>
      <c r="C69" s="69" t="inlineStr">
        <is>
          <t>YARDIMCI KİTAP</t>
        </is>
      </c>
      <c r="D69" s="69" t="inlineStr">
        <is>
          <t>SATIŞ DANIŞMANI</t>
        </is>
      </c>
      <c r="E69" s="69" t="inlineStr">
        <is>
          <t>SEZONLUK</t>
        </is>
      </c>
      <c r="F69" s="69" t="inlineStr">
        <is>
          <t>18.08.2025</t>
        </is>
      </c>
      <c r="G69" s="69" t="inlineStr">
        <is>
          <t>28.09.2025</t>
        </is>
      </c>
      <c r="H69" s="70" t="inlineStr">
        <is>
          <t>✓</t>
        </is>
      </c>
      <c r="I69" s="70" t="inlineStr"/>
      <c r="J69" s="71" t="n">
        <v>0.1123287671232877</v>
      </c>
    </row>
    <row r="70">
      <c r="A70" s="69" t="inlineStr">
        <is>
          <t>ARZ. TUN.</t>
        </is>
      </c>
      <c r="B70" s="69" t="inlineStr">
        <is>
          <t>FSM</t>
        </is>
      </c>
      <c r="C70" s="69" t="inlineStr">
        <is>
          <t>YARDIMCI KİTAP</t>
        </is>
      </c>
      <c r="D70" s="69" t="inlineStr">
        <is>
          <t>SATIŞ DANIŞMANI</t>
        </is>
      </c>
      <c r="E70" s="69" t="inlineStr">
        <is>
          <t>SEZONLUK</t>
        </is>
      </c>
      <c r="F70" s="69" t="inlineStr">
        <is>
          <t>25.08.2025</t>
        </is>
      </c>
      <c r="G70" s="69" t="inlineStr">
        <is>
          <t>13.11.2025</t>
        </is>
      </c>
      <c r="H70" s="70" t="inlineStr">
        <is>
          <t>✓</t>
        </is>
      </c>
      <c r="I70" s="70" t="inlineStr"/>
      <c r="J70" s="71" t="n">
        <v>0.2191780821917808</v>
      </c>
    </row>
    <row r="71">
      <c r="A71" s="16" t="inlineStr">
        <is>
          <t>OZA. AÇI.</t>
        </is>
      </c>
      <c r="B71" s="16" t="inlineStr">
        <is>
          <t>FSM</t>
        </is>
      </c>
      <c r="C71" s="16" t="inlineStr">
        <is>
          <t>YARDIMCI KİTAP</t>
        </is>
      </c>
      <c r="D71" s="16" t="inlineStr">
        <is>
          <t>SATIŞ DANIŞMANI</t>
        </is>
      </c>
      <c r="E71" s="16" t="inlineStr">
        <is>
          <t>KADRO</t>
        </is>
      </c>
      <c r="F71" s="16" t="inlineStr">
        <is>
          <t>09.03.2026</t>
        </is>
      </c>
      <c r="G71" s="16" t="inlineStr"/>
      <c r="H71" s="67" t="inlineStr"/>
      <c r="I71" s="67" t="inlineStr">
        <is>
          <t>✓</t>
        </is>
      </c>
      <c r="J71" s="68" t="n">
        <v>0.4794520547945205</v>
      </c>
    </row>
    <row r="72">
      <c r="A72" s="69" t="inlineStr">
        <is>
          <t>MEH. GÖR. GEN.</t>
        </is>
      </c>
      <c r="B72" s="69" t="inlineStr">
        <is>
          <t>FSM</t>
        </is>
      </c>
      <c r="C72" s="69" t="inlineStr">
        <is>
          <t>YARDIMCI KİTAP</t>
        </is>
      </c>
      <c r="D72" s="69" t="inlineStr">
        <is>
          <t>SATIŞ DANIŞMANI</t>
        </is>
      </c>
      <c r="E72" s="69" t="inlineStr">
        <is>
          <t>SEZONLUK</t>
        </is>
      </c>
      <c r="F72" s="69" t="inlineStr">
        <is>
          <t>16.07.2026</t>
        </is>
      </c>
      <c r="G72" s="69" t="inlineStr"/>
      <c r="H72" s="70" t="inlineStr"/>
      <c r="I72" s="70" t="inlineStr">
        <is>
          <t>✓</t>
        </is>
      </c>
      <c r="J72" s="71" t="n">
        <v>0.126027397260274</v>
      </c>
    </row>
    <row r="73">
      <c r="A73" s="69" t="inlineStr">
        <is>
          <t>AYŞ. BİR.</t>
        </is>
      </c>
      <c r="B73" s="69" t="inlineStr">
        <is>
          <t>FSM</t>
        </is>
      </c>
      <c r="C73" s="69" t="inlineStr">
        <is>
          <t>YARDIMCI KİTAP</t>
        </is>
      </c>
      <c r="D73" s="69" t="inlineStr">
        <is>
          <t>SATIŞ DANIŞMANI</t>
        </is>
      </c>
      <c r="E73" s="69" t="inlineStr">
        <is>
          <t>SEZONLUK</t>
        </is>
      </c>
      <c r="F73" s="69" t="inlineStr">
        <is>
          <t>10.08.2026</t>
        </is>
      </c>
      <c r="G73" s="69" t="inlineStr"/>
      <c r="H73" s="70" t="inlineStr"/>
      <c r="I73" s="70" t="inlineStr">
        <is>
          <t>✓</t>
        </is>
      </c>
      <c r="J73" s="71" t="n">
        <v>0.05753424657534247</v>
      </c>
    </row>
    <row r="74">
      <c r="A74" s="16" t="inlineStr">
        <is>
          <t>TAH. ÖZD.</t>
        </is>
      </c>
      <c r="B74" s="16" t="inlineStr">
        <is>
          <t>FSM</t>
        </is>
      </c>
      <c r="C74" s="16" t="inlineStr">
        <is>
          <t>YARDIMCI KİTAP</t>
        </is>
      </c>
      <c r="D74" s="16" t="inlineStr">
        <is>
          <t>SATIŞ DANIŞMANI</t>
        </is>
      </c>
      <c r="E74" s="16" t="inlineStr">
        <is>
          <t>KADRO</t>
        </is>
      </c>
      <c r="F74" s="16" t="inlineStr">
        <is>
          <t>14.08.2026</t>
        </is>
      </c>
      <c r="G74" s="16" t="inlineStr"/>
      <c r="H74" s="67" t="inlineStr"/>
      <c r="I74" s="67" t="inlineStr">
        <is>
          <t>✓</t>
        </is>
      </c>
      <c r="J74" s="68" t="n">
        <v>0.04657534246575343</v>
      </c>
    </row>
    <row r="75">
      <c r="A75" s="69" t="inlineStr">
        <is>
          <t>BAT. MUM.</t>
        </is>
      </c>
      <c r="B75" s="69" t="inlineStr">
        <is>
          <t>FSM</t>
        </is>
      </c>
      <c r="C75" s="69" t="inlineStr">
        <is>
          <t>YARDIMCI KİTAP</t>
        </is>
      </c>
      <c r="D75" s="69" t="inlineStr">
        <is>
          <t>SATIŞ DANIŞMANI</t>
        </is>
      </c>
      <c r="E75" s="69" t="inlineStr">
        <is>
          <t>SEZONLUK</t>
        </is>
      </c>
      <c r="F75" s="69" t="inlineStr">
        <is>
          <t>19.08.2026</t>
        </is>
      </c>
      <c r="G75" s="69" t="inlineStr"/>
      <c r="H75" s="70" t="inlineStr"/>
      <c r="I75" s="70" t="inlineStr">
        <is>
          <t>✓</t>
        </is>
      </c>
      <c r="J75" s="71" t="n">
        <v>0.03287671232876712</v>
      </c>
    </row>
    <row r="76">
      <c r="A76" s="16" t="inlineStr">
        <is>
          <t>MUS. ELÇ.</t>
        </is>
      </c>
      <c r="B76" s="16" t="inlineStr">
        <is>
          <t>HEYKEL</t>
        </is>
      </c>
      <c r="C76" s="16" t="inlineStr">
        <is>
          <t>AKADEMİ</t>
        </is>
      </c>
      <c r="D76" s="16" t="inlineStr">
        <is>
          <t>SATIŞ DANIŞMANI</t>
        </is>
      </c>
      <c r="E76" s="16" t="inlineStr">
        <is>
          <t>KADRO</t>
        </is>
      </c>
      <c r="F76" s="16" t="inlineStr">
        <is>
          <t>03.03.2022</t>
        </is>
      </c>
      <c r="G76" s="16" t="inlineStr"/>
      <c r="H76" s="67" t="inlineStr">
        <is>
          <t>✓</t>
        </is>
      </c>
      <c r="I76" s="67" t="inlineStr">
        <is>
          <t>✓</t>
        </is>
      </c>
      <c r="J76" s="68" t="n">
        <v>4.498630136986302</v>
      </c>
    </row>
    <row r="77">
      <c r="A77" s="16" t="inlineStr">
        <is>
          <t>TAN. DEM.</t>
        </is>
      </c>
      <c r="B77" s="16" t="inlineStr">
        <is>
          <t>HEYKEL</t>
        </is>
      </c>
      <c r="C77" s="16" t="inlineStr">
        <is>
          <t>AKADEMİ</t>
        </is>
      </c>
      <c r="D77" s="16" t="inlineStr">
        <is>
          <t>REYON ŞEFİ</t>
        </is>
      </c>
      <c r="E77" s="16" t="inlineStr">
        <is>
          <t>KADRO</t>
        </is>
      </c>
      <c r="F77" s="16" t="inlineStr">
        <is>
          <t>04.07.2023</t>
        </is>
      </c>
      <c r="G77" s="16" t="inlineStr"/>
      <c r="H77" s="67" t="inlineStr">
        <is>
          <t>✓</t>
        </is>
      </c>
      <c r="I77" s="67" t="inlineStr">
        <is>
          <t>✓</t>
        </is>
      </c>
      <c r="J77" s="68" t="n">
        <v>3.161643835616438</v>
      </c>
    </row>
    <row r="78">
      <c r="A78" s="16" t="inlineStr">
        <is>
          <t>AHM. ERO. BAY.</t>
        </is>
      </c>
      <c r="B78" s="16" t="inlineStr">
        <is>
          <t>HEYKEL</t>
        </is>
      </c>
      <c r="C78" s="16" t="inlineStr">
        <is>
          <t>AKADEMİ</t>
        </is>
      </c>
      <c r="D78" s="16" t="inlineStr">
        <is>
          <t>SATIŞ DANIŞMANI</t>
        </is>
      </c>
      <c r="E78" s="16" t="inlineStr">
        <is>
          <t>KADRO</t>
        </is>
      </c>
      <c r="F78" s="16" t="inlineStr">
        <is>
          <t>18.03.2025</t>
        </is>
      </c>
      <c r="G78" s="16" t="inlineStr">
        <is>
          <t>31.08.2025</t>
        </is>
      </c>
      <c r="H78" s="67" t="inlineStr">
        <is>
          <t>✓</t>
        </is>
      </c>
      <c r="I78" s="67" t="inlineStr"/>
      <c r="J78" s="68" t="n">
        <v>0.4547945205479452</v>
      </c>
    </row>
    <row r="79">
      <c r="A79" s="16" t="inlineStr">
        <is>
          <t>FUR. ALK.</t>
        </is>
      </c>
      <c r="B79" s="16" t="inlineStr">
        <is>
          <t>HEYKEL</t>
        </is>
      </c>
      <c r="C79" s="16" t="inlineStr">
        <is>
          <t>AKADEMİ</t>
        </is>
      </c>
      <c r="D79" s="16" t="inlineStr">
        <is>
          <t>SATIŞ DANIŞMANI</t>
        </is>
      </c>
      <c r="E79" s="16" t="inlineStr">
        <is>
          <t>KADRO</t>
        </is>
      </c>
      <c r="F79" s="16" t="inlineStr">
        <is>
          <t>01.09.2025</t>
        </is>
      </c>
      <c r="G79" s="16" t="inlineStr"/>
      <c r="H79" s="67" t="inlineStr"/>
      <c r="I79" s="67" t="inlineStr">
        <is>
          <t>✓</t>
        </is>
      </c>
      <c r="J79" s="68" t="n">
        <v>0.9972602739726028</v>
      </c>
    </row>
    <row r="80">
      <c r="A80" s="16" t="inlineStr">
        <is>
          <t>VEY. ÇET.</t>
        </is>
      </c>
      <c r="B80" s="16" t="inlineStr">
        <is>
          <t>HEYKEL</t>
        </is>
      </c>
      <c r="C80" s="16" t="inlineStr">
        <is>
          <t>ÇOCUK</t>
        </is>
      </c>
      <c r="D80" s="16" t="inlineStr">
        <is>
          <t>SATIŞ DANIŞMANI</t>
        </is>
      </c>
      <c r="E80" s="16" t="inlineStr">
        <is>
          <t>KADRO</t>
        </is>
      </c>
      <c r="F80" s="16" t="inlineStr">
        <is>
          <t>19.08.2022</t>
        </is>
      </c>
      <c r="G80" s="16" t="inlineStr"/>
      <c r="H80" s="67" t="inlineStr">
        <is>
          <t>✓</t>
        </is>
      </c>
      <c r="I80" s="67" t="inlineStr">
        <is>
          <t>✓</t>
        </is>
      </c>
      <c r="J80" s="68" t="n">
        <v>4.035616438356165</v>
      </c>
    </row>
    <row r="81">
      <c r="A81" s="16" t="inlineStr">
        <is>
          <t>EMR. KAL.</t>
        </is>
      </c>
      <c r="B81" s="16" t="inlineStr">
        <is>
          <t>HEYKEL</t>
        </is>
      </c>
      <c r="C81" s="16" t="inlineStr">
        <is>
          <t>ÇOCUK</t>
        </is>
      </c>
      <c r="D81" s="16" t="inlineStr">
        <is>
          <t>REYON ŞEFİ</t>
        </is>
      </c>
      <c r="E81" s="16" t="inlineStr">
        <is>
          <t>KADRO</t>
        </is>
      </c>
      <c r="F81" s="16" t="inlineStr">
        <is>
          <t>24.05.2024</t>
        </is>
      </c>
      <c r="G81" s="16" t="inlineStr">
        <is>
          <t>21.04.2026</t>
        </is>
      </c>
      <c r="H81" s="67" t="inlineStr">
        <is>
          <t>✓</t>
        </is>
      </c>
      <c r="I81" s="67" t="inlineStr"/>
      <c r="J81" s="68" t="n">
        <v>1.90958904109589</v>
      </c>
    </row>
    <row r="82">
      <c r="A82" s="16" t="inlineStr">
        <is>
          <t>UĞU. ZAF. ERE.</t>
        </is>
      </c>
      <c r="B82" s="16" t="inlineStr">
        <is>
          <t>HEYKEL</t>
        </is>
      </c>
      <c r="C82" s="16" t="inlineStr">
        <is>
          <t>ÇOCUK</t>
        </is>
      </c>
      <c r="D82" s="16" t="inlineStr">
        <is>
          <t>SATIŞ DANIŞMANI</t>
        </is>
      </c>
      <c r="E82" s="16" t="inlineStr">
        <is>
          <t>KADRO</t>
        </is>
      </c>
      <c r="F82" s="16" t="inlineStr">
        <is>
          <t>11.04.2025</t>
        </is>
      </c>
      <c r="G82" s="16" t="inlineStr"/>
      <c r="H82" s="67" t="inlineStr">
        <is>
          <t>✓</t>
        </is>
      </c>
      <c r="I82" s="67" t="inlineStr">
        <is>
          <t>✓</t>
        </is>
      </c>
      <c r="J82" s="68" t="n">
        <v>1.389041095890411</v>
      </c>
    </row>
    <row r="83">
      <c r="A83" s="16" t="inlineStr">
        <is>
          <t>REC. ÇİÇ.</t>
        </is>
      </c>
      <c r="B83" s="16" t="inlineStr">
        <is>
          <t>HEYKEL</t>
        </is>
      </c>
      <c r="C83" s="16" t="inlineStr">
        <is>
          <t>ÇOCUK</t>
        </is>
      </c>
      <c r="D83" s="16" t="inlineStr">
        <is>
          <t>SATIŞ DANIŞMANI</t>
        </is>
      </c>
      <c r="E83" s="16" t="inlineStr">
        <is>
          <t>KADRO</t>
        </is>
      </c>
      <c r="F83" s="16" t="inlineStr">
        <is>
          <t>23.06.2025</t>
        </is>
      </c>
      <c r="G83" s="16" t="inlineStr">
        <is>
          <t>08.02.2026</t>
        </is>
      </c>
      <c r="H83" s="67" t="inlineStr">
        <is>
          <t>✓</t>
        </is>
      </c>
      <c r="I83" s="67" t="inlineStr"/>
      <c r="J83" s="68" t="n">
        <v>0.6301369863013698</v>
      </c>
    </row>
    <row r="84">
      <c r="A84" s="69" t="inlineStr">
        <is>
          <t>BER. DOĞ.</t>
        </is>
      </c>
      <c r="B84" s="69" t="inlineStr">
        <is>
          <t>HEYKEL</t>
        </is>
      </c>
      <c r="C84" s="69" t="inlineStr">
        <is>
          <t>ÇOCUK</t>
        </is>
      </c>
      <c r="D84" s="69" t="inlineStr">
        <is>
          <t>SATIŞ DANIŞMANI</t>
        </is>
      </c>
      <c r="E84" s="69" t="inlineStr">
        <is>
          <t>SEZONLUK</t>
        </is>
      </c>
      <c r="F84" s="69" t="inlineStr">
        <is>
          <t>20.08.2026</t>
        </is>
      </c>
      <c r="G84" s="69" t="inlineStr"/>
      <c r="H84" s="70" t="inlineStr"/>
      <c r="I84" s="70" t="inlineStr">
        <is>
          <t>✓</t>
        </is>
      </c>
      <c r="J84" s="71" t="n">
        <v>0.03013698630136986</v>
      </c>
    </row>
    <row r="85">
      <c r="A85" s="16" t="inlineStr">
        <is>
          <t>YÜC. YAN.</t>
        </is>
      </c>
      <c r="B85" s="16" t="inlineStr">
        <is>
          <t>HEYKEL</t>
        </is>
      </c>
      <c r="C85" s="16" t="inlineStr">
        <is>
          <t>KIRTASİYE</t>
        </is>
      </c>
      <c r="D85" s="16" t="inlineStr">
        <is>
          <t>REYON ŞEFİ</t>
        </is>
      </c>
      <c r="E85" s="16" t="inlineStr">
        <is>
          <t>KADRO</t>
        </is>
      </c>
      <c r="F85" s="16" t="inlineStr">
        <is>
          <t>08.03.2023</t>
        </is>
      </c>
      <c r="G85" s="16" t="inlineStr"/>
      <c r="H85" s="67" t="inlineStr">
        <is>
          <t>✓</t>
        </is>
      </c>
      <c r="I85" s="67" t="inlineStr">
        <is>
          <t>✓</t>
        </is>
      </c>
      <c r="J85" s="68" t="n">
        <v>3.484931506849315</v>
      </c>
    </row>
    <row r="86">
      <c r="A86" s="16" t="inlineStr">
        <is>
          <t>MUS. SAL.</t>
        </is>
      </c>
      <c r="B86" s="16" t="inlineStr">
        <is>
          <t>HEYKEL</t>
        </is>
      </c>
      <c r="C86" s="16" t="inlineStr">
        <is>
          <t>KIRTASİYE</t>
        </is>
      </c>
      <c r="D86" s="16" t="inlineStr">
        <is>
          <t>SATIŞ DANIŞMANI</t>
        </is>
      </c>
      <c r="E86" s="16" t="inlineStr">
        <is>
          <t>KADRO</t>
        </is>
      </c>
      <c r="F86" s="16" t="inlineStr">
        <is>
          <t>08.07.2023</t>
        </is>
      </c>
      <c r="G86" s="16" t="inlineStr">
        <is>
          <t>19.04.2026</t>
        </is>
      </c>
      <c r="H86" s="67" t="inlineStr">
        <is>
          <t>✓</t>
        </is>
      </c>
      <c r="I86" s="67" t="inlineStr"/>
      <c r="J86" s="68" t="n">
        <v>2.783561643835617</v>
      </c>
    </row>
    <row r="87">
      <c r="A87" s="16" t="inlineStr">
        <is>
          <t>AHM. NUH.</t>
        </is>
      </c>
      <c r="B87" s="16" t="inlineStr">
        <is>
          <t>HEYKEL</t>
        </is>
      </c>
      <c r="C87" s="16" t="inlineStr">
        <is>
          <t>KIRTASİYE</t>
        </is>
      </c>
      <c r="D87" s="16" t="inlineStr">
        <is>
          <t>REYON ŞEFİ</t>
        </is>
      </c>
      <c r="E87" s="16" t="inlineStr">
        <is>
          <t>KADRO</t>
        </is>
      </c>
      <c r="F87" s="16" t="inlineStr">
        <is>
          <t>05.10.2023</t>
        </is>
      </c>
      <c r="G87" s="16" t="inlineStr"/>
      <c r="H87" s="67" t="inlineStr">
        <is>
          <t>✓</t>
        </is>
      </c>
      <c r="I87" s="67" t="inlineStr">
        <is>
          <t>✓</t>
        </is>
      </c>
      <c r="J87" s="68" t="n">
        <v>2.906849315068493</v>
      </c>
    </row>
    <row r="88">
      <c r="A88" s="16" t="inlineStr">
        <is>
          <t>ANI. BER. AYT.</t>
        </is>
      </c>
      <c r="B88" s="16" t="inlineStr">
        <is>
          <t>HEYKEL</t>
        </is>
      </c>
      <c r="C88" s="16" t="inlineStr">
        <is>
          <t>KIRTASİYE</t>
        </is>
      </c>
      <c r="D88" s="16" t="inlineStr">
        <is>
          <t>SATIŞ DANIŞMANI</t>
        </is>
      </c>
      <c r="E88" s="16" t="inlineStr">
        <is>
          <t>KADRO</t>
        </is>
      </c>
      <c r="F88" s="16" t="inlineStr">
        <is>
          <t>17.04.2024</t>
        </is>
      </c>
      <c r="G88" s="16" t="inlineStr"/>
      <c r="H88" s="67" t="inlineStr">
        <is>
          <t>✓</t>
        </is>
      </c>
      <c r="I88" s="67" t="inlineStr">
        <is>
          <t>✓</t>
        </is>
      </c>
      <c r="J88" s="68" t="n">
        <v>2.372602739726027</v>
      </c>
    </row>
    <row r="89">
      <c r="A89" s="16" t="inlineStr">
        <is>
          <t>KAD. BED.</t>
        </is>
      </c>
      <c r="B89" s="16" t="inlineStr">
        <is>
          <t>HEYKEL</t>
        </is>
      </c>
      <c r="C89" s="16" t="inlineStr">
        <is>
          <t>KIRTASİYE</t>
        </is>
      </c>
      <c r="D89" s="16" t="inlineStr">
        <is>
          <t>SATIŞ DANIŞMANI</t>
        </is>
      </c>
      <c r="E89" s="16" t="inlineStr">
        <is>
          <t>KADRO</t>
        </is>
      </c>
      <c r="F89" s="16" t="inlineStr">
        <is>
          <t>16.12.2024</t>
        </is>
      </c>
      <c r="G89" s="16" t="inlineStr">
        <is>
          <t>14.06.2026</t>
        </is>
      </c>
      <c r="H89" s="67" t="inlineStr">
        <is>
          <t>✓</t>
        </is>
      </c>
      <c r="I89" s="67" t="inlineStr"/>
      <c r="J89" s="68" t="n">
        <v>1.493150684931507</v>
      </c>
    </row>
    <row r="90">
      <c r="A90" s="16" t="inlineStr">
        <is>
          <t>HAS. BUR. FIR.</t>
        </is>
      </c>
      <c r="B90" s="16" t="inlineStr">
        <is>
          <t>HEYKEL</t>
        </is>
      </c>
      <c r="C90" s="16" t="inlineStr">
        <is>
          <t>KIRTASİYE</t>
        </is>
      </c>
      <c r="D90" s="16" t="inlineStr">
        <is>
          <t>SATIŞ DANIŞMANI</t>
        </is>
      </c>
      <c r="E90" s="16" t="inlineStr">
        <is>
          <t>KADRO</t>
        </is>
      </c>
      <c r="F90" s="16" t="inlineStr">
        <is>
          <t>01.08.2025</t>
        </is>
      </c>
      <c r="G90" s="16" t="inlineStr">
        <is>
          <t>30.09.2025</t>
        </is>
      </c>
      <c r="H90" s="67" t="inlineStr">
        <is>
          <t>✓</t>
        </is>
      </c>
      <c r="I90" s="67" t="inlineStr"/>
      <c r="J90" s="68" t="n">
        <v>0.1643835616438356</v>
      </c>
    </row>
    <row r="91">
      <c r="A91" s="69" t="inlineStr">
        <is>
          <t>FAH. PEK.</t>
        </is>
      </c>
      <c r="B91" s="69" t="inlineStr">
        <is>
          <t>HEYKEL</t>
        </is>
      </c>
      <c r="C91" s="69" t="inlineStr">
        <is>
          <t>KIRTASİYE</t>
        </is>
      </c>
      <c r="D91" s="69" t="inlineStr">
        <is>
          <t>SATIŞ DANIŞMANI</t>
        </is>
      </c>
      <c r="E91" s="69" t="inlineStr">
        <is>
          <t>SEZONLUK</t>
        </is>
      </c>
      <c r="F91" s="69" t="inlineStr">
        <is>
          <t>07.08.2025</t>
        </is>
      </c>
      <c r="G91" s="69" t="inlineStr">
        <is>
          <t>17.09.2025</t>
        </is>
      </c>
      <c r="H91" s="70" t="inlineStr">
        <is>
          <t>✓</t>
        </is>
      </c>
      <c r="I91" s="70" t="inlineStr"/>
      <c r="J91" s="71" t="n">
        <v>0.1123287671232877</v>
      </c>
    </row>
    <row r="92">
      <c r="A92" s="69" t="inlineStr">
        <is>
          <t>SAD. EMR. UYS.</t>
        </is>
      </c>
      <c r="B92" s="69" t="inlineStr">
        <is>
          <t>HEYKEL</t>
        </is>
      </c>
      <c r="C92" s="69" t="inlineStr">
        <is>
          <t>KIRTASİYE</t>
        </is>
      </c>
      <c r="D92" s="69" t="inlineStr">
        <is>
          <t>SATIŞ DANIŞMANI</t>
        </is>
      </c>
      <c r="E92" s="69" t="inlineStr">
        <is>
          <t>SEZONLUK</t>
        </is>
      </c>
      <c r="F92" s="69" t="inlineStr">
        <is>
          <t>12.08.2025</t>
        </is>
      </c>
      <c r="G92" s="69" t="inlineStr">
        <is>
          <t>18.09.2025</t>
        </is>
      </c>
      <c r="H92" s="70" t="inlineStr">
        <is>
          <t>✓</t>
        </is>
      </c>
      <c r="I92" s="70" t="inlineStr"/>
      <c r="J92" s="71" t="n">
        <v>0.1013698630136986</v>
      </c>
    </row>
    <row r="93">
      <c r="A93" s="69" t="inlineStr">
        <is>
          <t>SED. KAY.</t>
        </is>
      </c>
      <c r="B93" s="69" t="inlineStr">
        <is>
          <t>HEYKEL</t>
        </is>
      </c>
      <c r="C93" s="69" t="inlineStr">
        <is>
          <t>KIRTASİYE</t>
        </is>
      </c>
      <c r="D93" s="69" t="inlineStr">
        <is>
          <t>SATIŞ DANIŞMANI</t>
        </is>
      </c>
      <c r="E93" s="69" t="inlineStr">
        <is>
          <t>SEZONLUK</t>
        </is>
      </c>
      <c r="F93" s="69" t="inlineStr">
        <is>
          <t>13.08.2025</t>
        </is>
      </c>
      <c r="G93" s="69" t="inlineStr">
        <is>
          <t>03.09.2025</t>
        </is>
      </c>
      <c r="H93" s="70" t="inlineStr">
        <is>
          <t>✓</t>
        </is>
      </c>
      <c r="I93" s="70" t="inlineStr"/>
      <c r="J93" s="71" t="n">
        <v>0.05753424657534247</v>
      </c>
    </row>
    <row r="94">
      <c r="A94" s="69" t="inlineStr">
        <is>
          <t>YAĞ. AYD.</t>
        </is>
      </c>
      <c r="B94" s="69" t="inlineStr">
        <is>
          <t>HEYKEL</t>
        </is>
      </c>
      <c r="C94" s="69" t="inlineStr">
        <is>
          <t>KIRTASİYE</t>
        </is>
      </c>
      <c r="D94" s="69" t="inlineStr">
        <is>
          <t>SATIŞ DANIŞMANI</t>
        </is>
      </c>
      <c r="E94" s="69" t="inlineStr">
        <is>
          <t>SEZONLUK</t>
        </is>
      </c>
      <c r="F94" s="69" t="inlineStr">
        <is>
          <t>15.08.2025</t>
        </is>
      </c>
      <c r="G94" s="69" t="inlineStr">
        <is>
          <t>16.09.2025</t>
        </is>
      </c>
      <c r="H94" s="70" t="inlineStr">
        <is>
          <t>✓</t>
        </is>
      </c>
      <c r="I94" s="70" t="inlineStr"/>
      <c r="J94" s="71" t="n">
        <v>0.08767123287671233</v>
      </c>
    </row>
    <row r="95">
      <c r="A95" s="69" t="inlineStr">
        <is>
          <t>HAL. EMR. ERK.</t>
        </is>
      </c>
      <c r="B95" s="69" t="inlineStr">
        <is>
          <t>HEYKEL</t>
        </is>
      </c>
      <c r="C95" s="69" t="inlineStr">
        <is>
          <t>KIRTASİYE</t>
        </is>
      </c>
      <c r="D95" s="69" t="inlineStr">
        <is>
          <t>SATIŞ DANIŞMANI</t>
        </is>
      </c>
      <c r="E95" s="69" t="inlineStr">
        <is>
          <t>SEZONLUK</t>
        </is>
      </c>
      <c r="F95" s="69" t="inlineStr">
        <is>
          <t>15.08.2025</t>
        </is>
      </c>
      <c r="G95" s="69" t="inlineStr">
        <is>
          <t>21.09.2025</t>
        </is>
      </c>
      <c r="H95" s="70" t="inlineStr">
        <is>
          <t>✓</t>
        </is>
      </c>
      <c r="I95" s="70" t="inlineStr"/>
      <c r="J95" s="71" t="n">
        <v>0.1013698630136986</v>
      </c>
    </row>
    <row r="96">
      <c r="A96" s="69" t="inlineStr">
        <is>
          <t>HAT. BER. AKY.</t>
        </is>
      </c>
      <c r="B96" s="69" t="inlineStr">
        <is>
          <t>HEYKEL</t>
        </is>
      </c>
      <c r="C96" s="69" t="inlineStr">
        <is>
          <t>KIRTASİYE</t>
        </is>
      </c>
      <c r="D96" s="69" t="inlineStr">
        <is>
          <t>SATIŞ DANIŞMANI</t>
        </is>
      </c>
      <c r="E96" s="69" t="inlineStr">
        <is>
          <t>SEZONLUK</t>
        </is>
      </c>
      <c r="F96" s="69" t="inlineStr">
        <is>
          <t>15.08.2025</t>
        </is>
      </c>
      <c r="G96" s="69" t="inlineStr">
        <is>
          <t>28.09.2025</t>
        </is>
      </c>
      <c r="H96" s="70" t="inlineStr">
        <is>
          <t>✓</t>
        </is>
      </c>
      <c r="I96" s="70" t="inlineStr"/>
      <c r="J96" s="71" t="n">
        <v>0.1205479452054795</v>
      </c>
    </row>
    <row r="97">
      <c r="A97" s="69" t="inlineStr">
        <is>
          <t>BAY. ANI. SOY.</t>
        </is>
      </c>
      <c r="B97" s="69" t="inlineStr">
        <is>
          <t>HEYKEL</t>
        </is>
      </c>
      <c r="C97" s="69" t="inlineStr">
        <is>
          <t>KIRTASİYE</t>
        </is>
      </c>
      <c r="D97" s="69" t="inlineStr">
        <is>
          <t>SATIŞ DANIŞMANI</t>
        </is>
      </c>
      <c r="E97" s="69" t="inlineStr">
        <is>
          <t>SEZONLUK</t>
        </is>
      </c>
      <c r="F97" s="69" t="inlineStr">
        <is>
          <t>15.08.2025</t>
        </is>
      </c>
      <c r="G97" s="69" t="inlineStr">
        <is>
          <t>28.09.2025</t>
        </is>
      </c>
      <c r="H97" s="70" t="inlineStr">
        <is>
          <t>✓</t>
        </is>
      </c>
      <c r="I97" s="70" t="inlineStr"/>
      <c r="J97" s="71" t="n">
        <v>0.1205479452054795</v>
      </c>
    </row>
    <row r="98">
      <c r="A98" s="69" t="inlineStr">
        <is>
          <t>YUS. TEP.</t>
        </is>
      </c>
      <c r="B98" s="69" t="inlineStr">
        <is>
          <t>HEYKEL</t>
        </is>
      </c>
      <c r="C98" s="69" t="inlineStr">
        <is>
          <t>KIRTASİYE</t>
        </is>
      </c>
      <c r="D98" s="69" t="inlineStr">
        <is>
          <t>SATIŞ DANIŞMANI</t>
        </is>
      </c>
      <c r="E98" s="69" t="inlineStr">
        <is>
          <t>SEZONLUK</t>
        </is>
      </c>
      <c r="F98" s="69" t="inlineStr">
        <is>
          <t>15.08.2025</t>
        </is>
      </c>
      <c r="G98" s="69" t="inlineStr">
        <is>
          <t>08.09.2025</t>
        </is>
      </c>
      <c r="H98" s="70" t="inlineStr">
        <is>
          <t>✓</t>
        </is>
      </c>
      <c r="I98" s="70" t="inlineStr"/>
      <c r="J98" s="71" t="n">
        <v>0.06575342465753424</v>
      </c>
    </row>
    <row r="99">
      <c r="A99" s="69" t="inlineStr">
        <is>
          <t>ÇİĞ. KAY.</t>
        </is>
      </c>
      <c r="B99" s="69" t="inlineStr">
        <is>
          <t>HEYKEL</t>
        </is>
      </c>
      <c r="C99" s="69" t="inlineStr">
        <is>
          <t>KIRTASİYE</t>
        </is>
      </c>
      <c r="D99" s="69" t="inlineStr">
        <is>
          <t>SATIŞ DANIŞMANI</t>
        </is>
      </c>
      <c r="E99" s="69" t="inlineStr">
        <is>
          <t>SEZONLUK</t>
        </is>
      </c>
      <c r="F99" s="69" t="inlineStr">
        <is>
          <t>23.08.2025</t>
        </is>
      </c>
      <c r="G99" s="69" t="inlineStr">
        <is>
          <t>05.10.2025</t>
        </is>
      </c>
      <c r="H99" s="70" t="inlineStr">
        <is>
          <t>✓</t>
        </is>
      </c>
      <c r="I99" s="70" t="inlineStr"/>
      <c r="J99" s="71" t="n">
        <v>0.1178082191780822</v>
      </c>
    </row>
    <row r="100">
      <c r="A100" s="16" t="inlineStr">
        <is>
          <t>SER. KEL.</t>
        </is>
      </c>
      <c r="B100" s="16" t="inlineStr">
        <is>
          <t>HEYKEL</t>
        </is>
      </c>
      <c r="C100" s="16" t="inlineStr">
        <is>
          <t>KIRTASİYE</t>
        </is>
      </c>
      <c r="D100" s="16" t="inlineStr">
        <is>
          <t>SATIŞ DANIŞMANI</t>
        </is>
      </c>
      <c r="E100" s="16" t="inlineStr">
        <is>
          <t>KADRO</t>
        </is>
      </c>
      <c r="F100" s="16" t="inlineStr">
        <is>
          <t>07.03.2026</t>
        </is>
      </c>
      <c r="G100" s="16" t="inlineStr"/>
      <c r="H100" s="67" t="inlineStr"/>
      <c r="I100" s="67" t="inlineStr">
        <is>
          <t>✓</t>
        </is>
      </c>
      <c r="J100" s="68" t="n">
        <v>0.4849315068493151</v>
      </c>
    </row>
    <row r="101">
      <c r="A101" s="16" t="inlineStr">
        <is>
          <t>KEM. ÇAĞ.</t>
        </is>
      </c>
      <c r="B101" s="16" t="inlineStr">
        <is>
          <t>HEYKEL</t>
        </is>
      </c>
      <c r="C101" s="16" t="inlineStr">
        <is>
          <t>KIRTASİYE</t>
        </is>
      </c>
      <c r="D101" s="16" t="inlineStr">
        <is>
          <t>SATIŞ DANIŞMANI</t>
        </is>
      </c>
      <c r="E101" s="16" t="inlineStr">
        <is>
          <t>KADRO</t>
        </is>
      </c>
      <c r="F101" s="16" t="inlineStr">
        <is>
          <t>24.04.2026</t>
        </is>
      </c>
      <c r="G101" s="16" t="inlineStr"/>
      <c r="H101" s="67" t="inlineStr"/>
      <c r="I101" s="67" t="inlineStr">
        <is>
          <t>✓</t>
        </is>
      </c>
      <c r="J101" s="68" t="n">
        <v>0.3534246575342466</v>
      </c>
    </row>
    <row r="102">
      <c r="A102" s="16" t="inlineStr">
        <is>
          <t>KAD. BED.</t>
        </is>
      </c>
      <c r="B102" s="16" t="inlineStr">
        <is>
          <t>HEYKEL</t>
        </is>
      </c>
      <c r="C102" s="16" t="inlineStr">
        <is>
          <t>KIRTASİYE</t>
        </is>
      </c>
      <c r="D102" s="16" t="inlineStr">
        <is>
          <t>SATIŞ DANIŞMANI</t>
        </is>
      </c>
      <c r="E102" s="16" t="inlineStr">
        <is>
          <t>KADRO</t>
        </is>
      </c>
      <c r="F102" s="16" t="inlineStr">
        <is>
          <t>08.07.2026</t>
        </is>
      </c>
      <c r="G102" s="16" t="inlineStr"/>
      <c r="H102" s="67" t="inlineStr"/>
      <c r="I102" s="67" t="inlineStr">
        <is>
          <t>✓</t>
        </is>
      </c>
      <c r="J102" s="68" t="n">
        <v>0.1479452054794521</v>
      </c>
    </row>
    <row r="103">
      <c r="A103" s="69" t="inlineStr">
        <is>
          <t>FAH. PEK.</t>
        </is>
      </c>
      <c r="B103" s="69" t="inlineStr">
        <is>
          <t>HEYKEL</t>
        </is>
      </c>
      <c r="C103" s="69" t="inlineStr">
        <is>
          <t>KIRTASİYE</t>
        </is>
      </c>
      <c r="D103" s="69" t="inlineStr">
        <is>
          <t>SATIŞ DANIŞMANI</t>
        </is>
      </c>
      <c r="E103" s="69" t="inlineStr">
        <is>
          <t>SEZONLUK</t>
        </is>
      </c>
      <c r="F103" s="69" t="inlineStr">
        <is>
          <t>10.08.2026</t>
        </is>
      </c>
      <c r="G103" s="69" t="inlineStr"/>
      <c r="H103" s="70" t="inlineStr"/>
      <c r="I103" s="70" t="inlineStr">
        <is>
          <t>✓</t>
        </is>
      </c>
      <c r="J103" s="71" t="n">
        <v>0.05753424657534247</v>
      </c>
    </row>
    <row r="104">
      <c r="A104" s="69" t="inlineStr">
        <is>
          <t>YUS. TEP.</t>
        </is>
      </c>
      <c r="B104" s="69" t="inlineStr">
        <is>
          <t>HEYKEL</t>
        </is>
      </c>
      <c r="C104" s="69" t="inlineStr">
        <is>
          <t>KIRTASİYE</t>
        </is>
      </c>
      <c r="D104" s="69" t="inlineStr">
        <is>
          <t>SATIŞ DANIŞMANI</t>
        </is>
      </c>
      <c r="E104" s="69" t="inlineStr">
        <is>
          <t>SEZONLUK</t>
        </is>
      </c>
      <c r="F104" s="69" t="inlineStr">
        <is>
          <t>10.08.2026</t>
        </is>
      </c>
      <c r="G104" s="69" t="inlineStr">
        <is>
          <t>31.08.2026</t>
        </is>
      </c>
      <c r="H104" s="70" t="inlineStr"/>
      <c r="I104" s="70" t="inlineStr">
        <is>
          <t>✓</t>
        </is>
      </c>
      <c r="J104" s="71" t="n">
        <v>0.05753424657534247</v>
      </c>
    </row>
    <row r="105">
      <c r="A105" s="69" t="inlineStr">
        <is>
          <t>MUH. BAH. DAM.</t>
        </is>
      </c>
      <c r="B105" s="69" t="inlineStr">
        <is>
          <t>HEYKEL</t>
        </is>
      </c>
      <c r="C105" s="69" t="inlineStr">
        <is>
          <t>KIRTASİYE</t>
        </is>
      </c>
      <c r="D105" s="69" t="inlineStr">
        <is>
          <t>SATIŞ DANIŞMANI</t>
        </is>
      </c>
      <c r="E105" s="69" t="inlineStr">
        <is>
          <t>SEZONLUK</t>
        </is>
      </c>
      <c r="F105" s="69" t="inlineStr">
        <is>
          <t>17.08.2026</t>
        </is>
      </c>
      <c r="G105" s="69" t="inlineStr"/>
      <c r="H105" s="70" t="inlineStr"/>
      <c r="I105" s="70" t="inlineStr">
        <is>
          <t>✓</t>
        </is>
      </c>
      <c r="J105" s="71" t="n">
        <v>0.03835616438356165</v>
      </c>
    </row>
    <row r="106">
      <c r="A106" s="69" t="inlineStr">
        <is>
          <t>NUR IRM. ÇAV.</t>
        </is>
      </c>
      <c r="B106" s="69" t="inlineStr">
        <is>
          <t>HEYKEL</t>
        </is>
      </c>
      <c r="C106" s="69" t="inlineStr">
        <is>
          <t>KIRTASİYE</t>
        </is>
      </c>
      <c r="D106" s="69" t="inlineStr">
        <is>
          <t>SATIŞ DANIŞMANI</t>
        </is>
      </c>
      <c r="E106" s="69" t="inlineStr">
        <is>
          <t>SEZONLUK</t>
        </is>
      </c>
      <c r="F106" s="69" t="inlineStr">
        <is>
          <t>17.08.2026</t>
        </is>
      </c>
      <c r="G106" s="69" t="inlineStr"/>
      <c r="H106" s="70" t="inlineStr"/>
      <c r="I106" s="70" t="inlineStr">
        <is>
          <t>✓</t>
        </is>
      </c>
      <c r="J106" s="71" t="n">
        <v>0.03835616438356165</v>
      </c>
    </row>
    <row r="107">
      <c r="A107" s="69" t="inlineStr">
        <is>
          <t>ÖZE. AKK.</t>
        </is>
      </c>
      <c r="B107" s="69" t="inlineStr">
        <is>
          <t>HEYKEL</t>
        </is>
      </c>
      <c r="C107" s="69" t="inlineStr">
        <is>
          <t>KIRTASİYE</t>
        </is>
      </c>
      <c r="D107" s="69" t="inlineStr">
        <is>
          <t>SATIŞ DANIŞMANI</t>
        </is>
      </c>
      <c r="E107" s="69" t="inlineStr">
        <is>
          <t>SEZONLUK</t>
        </is>
      </c>
      <c r="F107" s="69" t="inlineStr">
        <is>
          <t>17.08.2026</t>
        </is>
      </c>
      <c r="G107" s="69" t="inlineStr"/>
      <c r="H107" s="70" t="inlineStr"/>
      <c r="I107" s="70" t="inlineStr">
        <is>
          <t>✓</t>
        </is>
      </c>
      <c r="J107" s="71" t="n">
        <v>0.03835616438356165</v>
      </c>
    </row>
    <row r="108">
      <c r="A108" s="69" t="inlineStr">
        <is>
          <t>UMU. UĞU.</t>
        </is>
      </c>
      <c r="B108" s="69" t="inlineStr">
        <is>
          <t>HEYKEL</t>
        </is>
      </c>
      <c r="C108" s="69" t="inlineStr">
        <is>
          <t>KIRTASİYE</t>
        </is>
      </c>
      <c r="D108" s="69" t="inlineStr">
        <is>
          <t>SATIŞ DANIŞMANI</t>
        </is>
      </c>
      <c r="E108" s="69" t="inlineStr">
        <is>
          <t>SEZONLUK</t>
        </is>
      </c>
      <c r="F108" s="69" t="inlineStr">
        <is>
          <t>21.08.2026</t>
        </is>
      </c>
      <c r="G108" s="69" t="inlineStr"/>
      <c r="H108" s="70" t="inlineStr"/>
      <c r="I108" s="70" t="inlineStr">
        <is>
          <t>✓</t>
        </is>
      </c>
      <c r="J108" s="71" t="n">
        <v>0.0273972602739726</v>
      </c>
    </row>
    <row r="109">
      <c r="A109" s="69" t="inlineStr">
        <is>
          <t>OSM. CİH. AKM.</t>
        </is>
      </c>
      <c r="B109" s="69" t="inlineStr">
        <is>
          <t>HEYKEL</t>
        </is>
      </c>
      <c r="C109" s="69" t="inlineStr">
        <is>
          <t>KIRTASİYE</t>
        </is>
      </c>
      <c r="D109" s="69" t="inlineStr">
        <is>
          <t>SATIŞ DANIŞMANI</t>
        </is>
      </c>
      <c r="E109" s="69" t="inlineStr">
        <is>
          <t>SEZONLUK</t>
        </is>
      </c>
      <c r="F109" s="69" t="inlineStr">
        <is>
          <t>25.08.2026</t>
        </is>
      </c>
      <c r="G109" s="69" t="inlineStr"/>
      <c r="H109" s="70" t="inlineStr"/>
      <c r="I109" s="70" t="inlineStr">
        <is>
          <t>✓</t>
        </is>
      </c>
      <c r="J109" s="71" t="n">
        <v>0.01643835616438356</v>
      </c>
    </row>
    <row r="110">
      <c r="A110" s="16" t="inlineStr">
        <is>
          <t>TUR. BAL.</t>
        </is>
      </c>
      <c r="B110" s="16" t="inlineStr">
        <is>
          <t>HEYKEL</t>
        </is>
      </c>
      <c r="C110" s="16" t="inlineStr">
        <is>
          <t>KÜLTÜR</t>
        </is>
      </c>
      <c r="D110" s="16" t="inlineStr">
        <is>
          <t>REYON ŞEFİ</t>
        </is>
      </c>
      <c r="E110" s="16" t="inlineStr">
        <is>
          <t>KADRO</t>
        </is>
      </c>
      <c r="F110" s="16" t="inlineStr">
        <is>
          <t>01.08.2023</t>
        </is>
      </c>
      <c r="G110" s="16" t="inlineStr">
        <is>
          <t>05.07.2026</t>
        </is>
      </c>
      <c r="H110" s="67" t="inlineStr">
        <is>
          <t>✓</t>
        </is>
      </c>
      <c r="I110" s="67" t="inlineStr"/>
      <c r="J110" s="68" t="n">
        <v>2.928767123287671</v>
      </c>
    </row>
    <row r="111">
      <c r="A111" s="16" t="inlineStr">
        <is>
          <t>MEH. POL.</t>
        </is>
      </c>
      <c r="B111" s="16" t="inlineStr">
        <is>
          <t>HEYKEL</t>
        </is>
      </c>
      <c r="C111" s="16" t="inlineStr">
        <is>
          <t>KÜLTÜR</t>
        </is>
      </c>
      <c r="D111" s="16" t="inlineStr">
        <is>
          <t>SATIŞ DANIŞMANI</t>
        </is>
      </c>
      <c r="E111" s="16" t="inlineStr">
        <is>
          <t>KADRO</t>
        </is>
      </c>
      <c r="F111" s="16" t="inlineStr">
        <is>
          <t>19.10.2024</t>
        </is>
      </c>
      <c r="G111" s="16" t="inlineStr">
        <is>
          <t>22.03.2026</t>
        </is>
      </c>
      <c r="H111" s="67" t="inlineStr">
        <is>
          <t>✓</t>
        </is>
      </c>
      <c r="I111" s="67" t="inlineStr"/>
      <c r="J111" s="68" t="n">
        <v>1.421917808219178</v>
      </c>
    </row>
    <row r="112">
      <c r="A112" s="16" t="inlineStr">
        <is>
          <t>EMR. KAY.</t>
        </is>
      </c>
      <c r="B112" s="16" t="inlineStr">
        <is>
          <t>HEYKEL</t>
        </is>
      </c>
      <c r="C112" s="16" t="inlineStr">
        <is>
          <t>KÜLTÜR</t>
        </is>
      </c>
      <c r="D112" s="16" t="inlineStr">
        <is>
          <t>SATIŞ DANIŞMANI</t>
        </is>
      </c>
      <c r="E112" s="16" t="inlineStr">
        <is>
          <t>KADRO</t>
        </is>
      </c>
      <c r="F112" s="16" t="inlineStr">
        <is>
          <t>04.06.2025</t>
        </is>
      </c>
      <c r="G112" s="16" t="inlineStr"/>
      <c r="H112" s="67" t="inlineStr">
        <is>
          <t>✓</t>
        </is>
      </c>
      <c r="I112" s="67" t="inlineStr">
        <is>
          <t>✓</t>
        </is>
      </c>
      <c r="J112" s="68" t="n">
        <v>1.241095890410959</v>
      </c>
    </row>
    <row r="113">
      <c r="A113" s="16" t="inlineStr">
        <is>
          <t>BER. UZG.</t>
        </is>
      </c>
      <c r="B113" s="16" t="inlineStr">
        <is>
          <t>HEYKEL</t>
        </is>
      </c>
      <c r="C113" s="16" t="inlineStr">
        <is>
          <t>KÜLTÜR</t>
        </is>
      </c>
      <c r="D113" s="16" t="inlineStr">
        <is>
          <t>SATIŞ DANIŞMANI</t>
        </is>
      </c>
      <c r="E113" s="16" t="inlineStr">
        <is>
          <t>KADRO</t>
        </is>
      </c>
      <c r="F113" s="16" t="inlineStr">
        <is>
          <t>13.08.2025</t>
        </is>
      </c>
      <c r="G113" s="16" t="inlineStr">
        <is>
          <t>21.06.2026</t>
        </is>
      </c>
      <c r="H113" s="67" t="inlineStr">
        <is>
          <t>✓</t>
        </is>
      </c>
      <c r="I113" s="67" t="inlineStr"/>
      <c r="J113" s="68" t="n">
        <v>0.8547945205479452</v>
      </c>
    </row>
    <row r="114">
      <c r="A114" s="16" t="inlineStr">
        <is>
          <t>ALİ CAN AKY.</t>
        </is>
      </c>
      <c r="B114" s="16" t="inlineStr">
        <is>
          <t>HEYKEL</t>
        </is>
      </c>
      <c r="C114" s="16" t="inlineStr">
        <is>
          <t>KÜLTÜR</t>
        </is>
      </c>
      <c r="D114" s="16" t="inlineStr">
        <is>
          <t>SATIŞ DANIŞMANI</t>
        </is>
      </c>
      <c r="E114" s="16" t="inlineStr">
        <is>
          <t>KADRO</t>
        </is>
      </c>
      <c r="F114" s="16" t="inlineStr">
        <is>
          <t>19.02.2026</t>
        </is>
      </c>
      <c r="G114" s="16" t="inlineStr"/>
      <c r="H114" s="67" t="inlineStr"/>
      <c r="I114" s="67" t="inlineStr">
        <is>
          <t>✓</t>
        </is>
      </c>
      <c r="J114" s="68" t="n">
        <v>0.5287671232876713</v>
      </c>
    </row>
    <row r="115">
      <c r="A115" s="16" t="inlineStr">
        <is>
          <t>KAA. BAR. CEN.</t>
        </is>
      </c>
      <c r="B115" s="16" t="inlineStr">
        <is>
          <t>HEYKEL</t>
        </is>
      </c>
      <c r="C115" s="16" t="inlineStr">
        <is>
          <t>KÜLTÜR</t>
        </is>
      </c>
      <c r="D115" s="16" t="inlineStr">
        <is>
          <t>SATIŞ DANIŞMANI</t>
        </is>
      </c>
      <c r="E115" s="16" t="inlineStr">
        <is>
          <t>KADRO</t>
        </is>
      </c>
      <c r="F115" s="16" t="inlineStr">
        <is>
          <t>13.06.2026</t>
        </is>
      </c>
      <c r="G115" s="16" t="inlineStr"/>
      <c r="H115" s="67" t="inlineStr"/>
      <c r="I115" s="67" t="inlineStr">
        <is>
          <t>✓</t>
        </is>
      </c>
      <c r="J115" s="68" t="n">
        <v>0.2164383561643836</v>
      </c>
    </row>
    <row r="116">
      <c r="A116" s="16" t="inlineStr">
        <is>
          <t>BAT. KAR.</t>
        </is>
      </c>
      <c r="B116" s="16" t="inlineStr">
        <is>
          <t>HEYKEL</t>
        </is>
      </c>
      <c r="C116" s="16" t="inlineStr">
        <is>
          <t>KÜLTÜR</t>
        </is>
      </c>
      <c r="D116" s="16" t="inlineStr">
        <is>
          <t>SATIŞ DANIŞMANI</t>
        </is>
      </c>
      <c r="E116" s="16" t="inlineStr">
        <is>
          <t>KADRO</t>
        </is>
      </c>
      <c r="F116" s="16" t="inlineStr">
        <is>
          <t>01.08.2026</t>
        </is>
      </c>
      <c r="G116" s="16" t="inlineStr"/>
      <c r="H116" s="67" t="inlineStr"/>
      <c r="I116" s="67" t="inlineStr">
        <is>
          <t>✓</t>
        </is>
      </c>
      <c r="J116" s="68" t="n">
        <v>0.0821917808219178</v>
      </c>
    </row>
    <row r="117">
      <c r="A117" s="16" t="inlineStr">
        <is>
          <t>REC. ÖZC.</t>
        </is>
      </c>
      <c r="B117" s="16" t="inlineStr">
        <is>
          <t>HEYKEL</t>
        </is>
      </c>
      <c r="C117" s="16" t="inlineStr">
        <is>
          <t>MAĞAZA</t>
        </is>
      </c>
      <c r="D117" s="16" t="inlineStr">
        <is>
          <t>MAĞAZA MÜDÜR YRD.</t>
        </is>
      </c>
      <c r="E117" s="16" t="inlineStr">
        <is>
          <t>KADRO</t>
        </is>
      </c>
      <c r="F117" s="16" t="inlineStr">
        <is>
          <t>15.01.2011</t>
        </is>
      </c>
      <c r="G117" s="16" t="inlineStr"/>
      <c r="H117" s="67" t="inlineStr">
        <is>
          <t>✓</t>
        </is>
      </c>
      <c r="I117" s="67" t="inlineStr">
        <is>
          <t>✓</t>
        </is>
      </c>
      <c r="J117" s="68" t="n">
        <v>15.63561643835616</v>
      </c>
    </row>
    <row r="118">
      <c r="A118" s="16" t="inlineStr">
        <is>
          <t>MUH. KAY.</t>
        </is>
      </c>
      <c r="B118" s="16" t="inlineStr">
        <is>
          <t>HEYKEL</t>
        </is>
      </c>
      <c r="C118" s="16" t="inlineStr">
        <is>
          <t>MAL KABUL</t>
        </is>
      </c>
      <c r="D118" s="16" t="inlineStr">
        <is>
          <t>MAL KABUL PERSONELİ</t>
        </is>
      </c>
      <c r="E118" s="16" t="inlineStr">
        <is>
          <t>KADRO</t>
        </is>
      </c>
      <c r="F118" s="16" t="inlineStr">
        <is>
          <t>19.12.2019</t>
        </is>
      </c>
      <c r="G118" s="16" t="inlineStr"/>
      <c r="H118" s="67" t="inlineStr">
        <is>
          <t>✓</t>
        </is>
      </c>
      <c r="I118" s="67" t="inlineStr">
        <is>
          <t>✓</t>
        </is>
      </c>
      <c r="J118" s="68" t="n">
        <v>6.704109589041096</v>
      </c>
    </row>
    <row r="119">
      <c r="A119" s="16" t="inlineStr">
        <is>
          <t>KUB. OĞU.</t>
        </is>
      </c>
      <c r="B119" s="16" t="inlineStr">
        <is>
          <t>HEYKEL</t>
        </is>
      </c>
      <c r="C119" s="16" t="inlineStr">
        <is>
          <t>MUHASEBE</t>
        </is>
      </c>
      <c r="D119" s="16" t="inlineStr">
        <is>
          <t>ÖN MUHASEBE GÖREVLİSİ</t>
        </is>
      </c>
      <c r="E119" s="16" t="inlineStr">
        <is>
          <t>KADRO</t>
        </is>
      </c>
      <c r="F119" s="16" t="inlineStr">
        <is>
          <t>14.02.2019</t>
        </is>
      </c>
      <c r="G119" s="16" t="inlineStr">
        <is>
          <t>26.10.2025</t>
        </is>
      </c>
      <c r="H119" s="67" t="inlineStr">
        <is>
          <t>✓</t>
        </is>
      </c>
      <c r="I119" s="67" t="inlineStr"/>
      <c r="J119" s="68" t="n">
        <v>6.701369863013698</v>
      </c>
    </row>
    <row r="120">
      <c r="A120" s="16" t="inlineStr">
        <is>
          <t>İLK. KIR.</t>
        </is>
      </c>
      <c r="B120" s="16" t="inlineStr">
        <is>
          <t>HEYKEL</t>
        </is>
      </c>
      <c r="C120" s="16" t="inlineStr">
        <is>
          <t>YARDIMCI KİTAP</t>
        </is>
      </c>
      <c r="D120" s="16" t="inlineStr">
        <is>
          <t>REYON ŞEFİ</t>
        </is>
      </c>
      <c r="E120" s="16" t="inlineStr">
        <is>
          <t>KADRO</t>
        </is>
      </c>
      <c r="F120" s="16" t="inlineStr">
        <is>
          <t>03.01.2009</t>
        </is>
      </c>
      <c r="G120" s="16" t="inlineStr"/>
      <c r="H120" s="67" t="inlineStr">
        <is>
          <t>✓</t>
        </is>
      </c>
      <c r="I120" s="67" t="inlineStr">
        <is>
          <t>✓</t>
        </is>
      </c>
      <c r="J120" s="68" t="n">
        <v>17.66849315068493</v>
      </c>
    </row>
    <row r="121">
      <c r="A121" s="16" t="inlineStr">
        <is>
          <t>YUS. ALU.</t>
        </is>
      </c>
      <c r="B121" s="16" t="inlineStr">
        <is>
          <t>HEYKEL</t>
        </is>
      </c>
      <c r="C121" s="16" t="inlineStr">
        <is>
          <t>YARDIMCI KİTAP</t>
        </is>
      </c>
      <c r="D121" s="16" t="inlineStr">
        <is>
          <t>SATIŞ DANIŞMANI</t>
        </is>
      </c>
      <c r="E121" s="16" t="inlineStr">
        <is>
          <t>KADRO</t>
        </is>
      </c>
      <c r="F121" s="16" t="inlineStr">
        <is>
          <t>02.11.2020</t>
        </is>
      </c>
      <c r="G121" s="16" t="inlineStr"/>
      <c r="H121" s="67" t="inlineStr">
        <is>
          <t>✓</t>
        </is>
      </c>
      <c r="I121" s="67" t="inlineStr">
        <is>
          <t>✓</t>
        </is>
      </c>
      <c r="J121" s="68" t="n">
        <v>5.83013698630137</v>
      </c>
    </row>
    <row r="122">
      <c r="A122" s="16" t="inlineStr">
        <is>
          <t>POL. SÜL.</t>
        </is>
      </c>
      <c r="B122" s="16" t="inlineStr">
        <is>
          <t>HEYKEL</t>
        </is>
      </c>
      <c r="C122" s="16" t="inlineStr">
        <is>
          <t>YARDIMCI KİTAP</t>
        </is>
      </c>
      <c r="D122" s="16" t="inlineStr">
        <is>
          <t>SATIŞ DANIŞMANI</t>
        </is>
      </c>
      <c r="E122" s="16" t="inlineStr">
        <is>
          <t>KADRO</t>
        </is>
      </c>
      <c r="F122" s="16" t="inlineStr">
        <is>
          <t>11.08.2023</t>
        </is>
      </c>
      <c r="G122" s="16" t="inlineStr"/>
      <c r="H122" s="67" t="inlineStr">
        <is>
          <t>✓</t>
        </is>
      </c>
      <c r="I122" s="67" t="inlineStr">
        <is>
          <t>✓</t>
        </is>
      </c>
      <c r="J122" s="68" t="n">
        <v>3.057534246575342</v>
      </c>
    </row>
    <row r="123">
      <c r="A123" s="16" t="inlineStr">
        <is>
          <t>CEM. SAY.</t>
        </is>
      </c>
      <c r="B123" s="16" t="inlineStr">
        <is>
          <t>HEYKEL</t>
        </is>
      </c>
      <c r="C123" s="16" t="inlineStr">
        <is>
          <t>YARDIMCI KİTAP</t>
        </is>
      </c>
      <c r="D123" s="16" t="inlineStr">
        <is>
          <t>REYON ŞEFİ</t>
        </is>
      </c>
      <c r="E123" s="16" t="inlineStr">
        <is>
          <t>KADRO</t>
        </is>
      </c>
      <c r="F123" s="16" t="inlineStr">
        <is>
          <t>23.08.2023</t>
        </is>
      </c>
      <c r="G123" s="16" t="inlineStr"/>
      <c r="H123" s="67" t="inlineStr">
        <is>
          <t>✓</t>
        </is>
      </c>
      <c r="I123" s="67" t="inlineStr">
        <is>
          <t>✓</t>
        </is>
      </c>
      <c r="J123" s="68" t="n">
        <v>3.024657534246575</v>
      </c>
    </row>
    <row r="124">
      <c r="A124" s="16" t="inlineStr">
        <is>
          <t>FUR. ÇAK.</t>
        </is>
      </c>
      <c r="B124" s="16" t="inlineStr">
        <is>
          <t>HEYKEL</t>
        </is>
      </c>
      <c r="C124" s="16" t="inlineStr">
        <is>
          <t>YARDIMCI KİTAP</t>
        </is>
      </c>
      <c r="D124" s="16" t="inlineStr">
        <is>
          <t>SATIŞ DANIŞMANI</t>
        </is>
      </c>
      <c r="E124" s="16" t="inlineStr">
        <is>
          <t>KADRO</t>
        </is>
      </c>
      <c r="F124" s="16" t="inlineStr">
        <is>
          <t>04.06.2024</t>
        </is>
      </c>
      <c r="G124" s="16" t="inlineStr">
        <is>
          <t>21.12.2025</t>
        </is>
      </c>
      <c r="H124" s="67" t="inlineStr">
        <is>
          <t>✓</t>
        </is>
      </c>
      <c r="I124" s="67" t="inlineStr"/>
      <c r="J124" s="68" t="n">
        <v>1.547945205479452</v>
      </c>
    </row>
    <row r="125">
      <c r="A125" s="16" t="inlineStr">
        <is>
          <t>BER. AYD.</t>
        </is>
      </c>
      <c r="B125" s="16" t="inlineStr">
        <is>
          <t>HEYKEL</t>
        </is>
      </c>
      <c r="C125" s="16" t="inlineStr">
        <is>
          <t>YARDIMCI KİTAP</t>
        </is>
      </c>
      <c r="D125" s="16" t="inlineStr">
        <is>
          <t>SATIŞ DANIŞMANI</t>
        </is>
      </c>
      <c r="E125" s="16" t="inlineStr">
        <is>
          <t>KADRO</t>
        </is>
      </c>
      <c r="F125" s="16" t="inlineStr">
        <is>
          <t>01.10.2024</t>
        </is>
      </c>
      <c r="G125" s="16" t="inlineStr"/>
      <c r="H125" s="67" t="inlineStr">
        <is>
          <t>✓</t>
        </is>
      </c>
      <c r="I125" s="67" t="inlineStr">
        <is>
          <t>✓</t>
        </is>
      </c>
      <c r="J125" s="68" t="n">
        <v>1.915068493150685</v>
      </c>
    </row>
    <row r="126">
      <c r="A126" s="16" t="inlineStr">
        <is>
          <t>HÜS. EFE TET.</t>
        </is>
      </c>
      <c r="B126" s="16" t="inlineStr">
        <is>
          <t>HEYKEL</t>
        </is>
      </c>
      <c r="C126" s="16" t="inlineStr">
        <is>
          <t>YARDIMCI KİTAP</t>
        </is>
      </c>
      <c r="D126" s="16" t="inlineStr">
        <is>
          <t>SATIŞ DANIŞMANI</t>
        </is>
      </c>
      <c r="E126" s="16" t="inlineStr">
        <is>
          <t>KADRO</t>
        </is>
      </c>
      <c r="F126" s="16" t="inlineStr">
        <is>
          <t>19.10.2024</t>
        </is>
      </c>
      <c r="G126" s="16" t="inlineStr">
        <is>
          <t>02.08.2026</t>
        </is>
      </c>
      <c r="H126" s="67" t="inlineStr">
        <is>
          <t>✓</t>
        </is>
      </c>
      <c r="I126" s="67" t="inlineStr"/>
      <c r="J126" s="68" t="n">
        <v>1.786301369863014</v>
      </c>
    </row>
    <row r="127">
      <c r="A127" s="16" t="inlineStr">
        <is>
          <t>SİN. KOÇ.</t>
        </is>
      </c>
      <c r="B127" s="16" t="inlineStr">
        <is>
          <t>HEYKEL</t>
        </is>
      </c>
      <c r="C127" s="16" t="inlineStr">
        <is>
          <t>YARDIMCI KİTAP</t>
        </is>
      </c>
      <c r="D127" s="16" t="inlineStr">
        <is>
          <t>SATIŞ DANIŞMANI</t>
        </is>
      </c>
      <c r="E127" s="16" t="inlineStr">
        <is>
          <t>KADRO</t>
        </is>
      </c>
      <c r="F127" s="16" t="inlineStr">
        <is>
          <t>15.01.2025</t>
        </is>
      </c>
      <c r="G127" s="16" t="inlineStr">
        <is>
          <t>02.07.2026</t>
        </is>
      </c>
      <c r="H127" s="67" t="inlineStr">
        <is>
          <t>✓</t>
        </is>
      </c>
      <c r="I127" s="67" t="inlineStr"/>
      <c r="J127" s="68" t="n">
        <v>1.46027397260274</v>
      </c>
    </row>
    <row r="128">
      <c r="A128" s="69" t="inlineStr">
        <is>
          <t>EMİ. KAY.</t>
        </is>
      </c>
      <c r="B128" s="69" t="inlineStr">
        <is>
          <t>HEYKEL</t>
        </is>
      </c>
      <c r="C128" s="69" t="inlineStr">
        <is>
          <t>YARDIMCI KİTAP</t>
        </is>
      </c>
      <c r="D128" s="69" t="inlineStr">
        <is>
          <t>SATIŞ DANIŞMANI</t>
        </is>
      </c>
      <c r="E128" s="69" t="inlineStr">
        <is>
          <t>SEZONLUK</t>
        </is>
      </c>
      <c r="F128" s="69" t="inlineStr">
        <is>
          <t>12.08.2025</t>
        </is>
      </c>
      <c r="G128" s="69" t="inlineStr">
        <is>
          <t>18.09.2025</t>
        </is>
      </c>
      <c r="H128" s="70" t="inlineStr">
        <is>
          <t>✓</t>
        </is>
      </c>
      <c r="I128" s="70" t="inlineStr"/>
      <c r="J128" s="71" t="n">
        <v>0.1013698630136986</v>
      </c>
    </row>
    <row r="129">
      <c r="A129" s="69" t="inlineStr">
        <is>
          <t>ÖZE. AKK.</t>
        </is>
      </c>
      <c r="B129" s="69" t="inlineStr">
        <is>
          <t>HEYKEL</t>
        </is>
      </c>
      <c r="C129" s="69" t="inlineStr">
        <is>
          <t>YARDIMCI KİTAP</t>
        </is>
      </c>
      <c r="D129" s="69" t="inlineStr">
        <is>
          <t>SATIŞ DANIŞMANI</t>
        </is>
      </c>
      <c r="E129" s="69" t="inlineStr">
        <is>
          <t>SEZONLUK</t>
        </is>
      </c>
      <c r="F129" s="69" t="inlineStr">
        <is>
          <t>19.08.2025</t>
        </is>
      </c>
      <c r="G129" s="69" t="inlineStr">
        <is>
          <t>22.09.2025</t>
        </is>
      </c>
      <c r="H129" s="70" t="inlineStr">
        <is>
          <t>✓</t>
        </is>
      </c>
      <c r="I129" s="70" t="inlineStr"/>
      <c r="J129" s="71" t="n">
        <v>0.09315068493150686</v>
      </c>
    </row>
    <row r="130">
      <c r="A130" s="69" t="inlineStr">
        <is>
          <t>DEN. YIL.</t>
        </is>
      </c>
      <c r="B130" s="69" t="inlineStr">
        <is>
          <t>HEYKEL</t>
        </is>
      </c>
      <c r="C130" s="69" t="inlineStr">
        <is>
          <t>YARDIMCI KİTAP</t>
        </is>
      </c>
      <c r="D130" s="69" t="inlineStr">
        <is>
          <t>SATIŞ DANIŞMANI</t>
        </is>
      </c>
      <c r="E130" s="69" t="inlineStr">
        <is>
          <t>SEZONLUK</t>
        </is>
      </c>
      <c r="F130" s="69" t="inlineStr">
        <is>
          <t>23.08.2025</t>
        </is>
      </c>
      <c r="G130" s="69" t="inlineStr">
        <is>
          <t>21.05.2026</t>
        </is>
      </c>
      <c r="H130" s="70" t="inlineStr">
        <is>
          <t>✓</t>
        </is>
      </c>
      <c r="I130" s="70" t="inlineStr"/>
      <c r="J130" s="71" t="n">
        <v>0.7424657534246575</v>
      </c>
    </row>
    <row r="131">
      <c r="A131" s="16" t="inlineStr">
        <is>
          <t>İBR. GÜR.</t>
        </is>
      </c>
      <c r="B131" s="16" t="inlineStr">
        <is>
          <t>HEYKEL</t>
        </is>
      </c>
      <c r="C131" s="16" t="inlineStr">
        <is>
          <t>YARDIMCI KİTAP</t>
        </is>
      </c>
      <c r="D131" s="16" t="inlineStr">
        <is>
          <t>SATIŞ DANIŞMANI</t>
        </is>
      </c>
      <c r="E131" s="16" t="inlineStr">
        <is>
          <t>KADRO</t>
        </is>
      </c>
      <c r="F131" s="16" t="inlineStr">
        <is>
          <t>16.09.2025</t>
        </is>
      </c>
      <c r="G131" s="16" t="inlineStr"/>
      <c r="H131" s="67" t="inlineStr"/>
      <c r="I131" s="67" t="inlineStr">
        <is>
          <t>✓</t>
        </is>
      </c>
      <c r="J131" s="68" t="n">
        <v>0.9561643835616438</v>
      </c>
    </row>
    <row r="132">
      <c r="A132" s="16" t="inlineStr">
        <is>
          <t>ASL. GÜÇ.</t>
        </is>
      </c>
      <c r="B132" s="16" t="inlineStr">
        <is>
          <t>HEYKEL</t>
        </is>
      </c>
      <c r="C132" s="16" t="inlineStr">
        <is>
          <t>YARDIMCI KİTAP</t>
        </is>
      </c>
      <c r="D132" s="16" t="inlineStr">
        <is>
          <t>SATIŞ DANIŞMANI</t>
        </is>
      </c>
      <c r="E132" s="16" t="inlineStr">
        <is>
          <t>KADRO</t>
        </is>
      </c>
      <c r="F132" s="16" t="inlineStr">
        <is>
          <t>01.06.2026</t>
        </is>
      </c>
      <c r="G132" s="16" t="inlineStr"/>
      <c r="H132" s="67" t="inlineStr"/>
      <c r="I132" s="67" t="inlineStr">
        <is>
          <t>✓</t>
        </is>
      </c>
      <c r="J132" s="68" t="n">
        <v>0.2493150684931507</v>
      </c>
    </row>
    <row r="133">
      <c r="A133" s="16" t="inlineStr">
        <is>
          <t>YAŞ. UĞU.</t>
        </is>
      </c>
      <c r="B133" s="16" t="inlineStr">
        <is>
          <t>HEYKEL</t>
        </is>
      </c>
      <c r="C133" s="16" t="inlineStr">
        <is>
          <t>YARDIMCI KİTAP</t>
        </is>
      </c>
      <c r="D133" s="16" t="inlineStr">
        <is>
          <t>SATIŞ DANIŞMANI</t>
        </is>
      </c>
      <c r="E133" s="16" t="inlineStr">
        <is>
          <t>KADRO</t>
        </is>
      </c>
      <c r="F133" s="16" t="inlineStr">
        <is>
          <t>26.06.2026</t>
        </is>
      </c>
      <c r="G133" s="16" t="inlineStr"/>
      <c r="H133" s="67" t="inlineStr"/>
      <c r="I133" s="67" t="inlineStr">
        <is>
          <t>✓</t>
        </is>
      </c>
      <c r="J133" s="68" t="n">
        <v>0.1808219178082192</v>
      </c>
    </row>
    <row r="134">
      <c r="A134" s="16" t="inlineStr">
        <is>
          <t>ENE. BOZ.</t>
        </is>
      </c>
      <c r="B134" s="16" t="inlineStr">
        <is>
          <t>HEYKEL</t>
        </is>
      </c>
      <c r="C134" s="16" t="inlineStr">
        <is>
          <t>YARDIMCI KİTAP</t>
        </is>
      </c>
      <c r="D134" s="16" t="inlineStr">
        <is>
          <t>SATIŞ DANIŞMANI</t>
        </is>
      </c>
      <c r="E134" s="16" t="inlineStr">
        <is>
          <t>KADRO</t>
        </is>
      </c>
      <c r="F134" s="16" t="inlineStr">
        <is>
          <t>05.08.2026</t>
        </is>
      </c>
      <c r="G134" s="16" t="inlineStr"/>
      <c r="H134" s="67" t="inlineStr"/>
      <c r="I134" s="67" t="inlineStr">
        <is>
          <t>✓</t>
        </is>
      </c>
      <c r="J134" s="68" t="n">
        <v>0.07123287671232877</v>
      </c>
    </row>
    <row r="135">
      <c r="A135" s="69" t="inlineStr">
        <is>
          <t>BAR. SAN.</t>
        </is>
      </c>
      <c r="B135" s="69" t="inlineStr">
        <is>
          <t>HEYKEL</t>
        </is>
      </c>
      <c r="C135" s="69" t="inlineStr">
        <is>
          <t>YARDIMCI KİTAP</t>
        </is>
      </c>
      <c r="D135" s="69" t="inlineStr">
        <is>
          <t>SATIŞ DANIŞMANI</t>
        </is>
      </c>
      <c r="E135" s="69" t="inlineStr">
        <is>
          <t>SEZONLUK</t>
        </is>
      </c>
      <c r="F135" s="69" t="inlineStr">
        <is>
          <t>25.08.2026</t>
        </is>
      </c>
      <c r="G135" s="69" t="inlineStr"/>
      <c r="H135" s="70" t="inlineStr"/>
      <c r="I135" s="70" t="inlineStr">
        <is>
          <t>✓</t>
        </is>
      </c>
      <c r="J135" s="71" t="n">
        <v>0.01643835616438356</v>
      </c>
    </row>
    <row r="136">
      <c r="A136" s="16" t="inlineStr">
        <is>
          <t>ÖME. FAR. KIR.</t>
        </is>
      </c>
      <c r="B136" s="16" t="inlineStr">
        <is>
          <t>İST. YOLU</t>
        </is>
      </c>
      <c r="C136" s="16" t="inlineStr">
        <is>
          <t>AKADEMİ</t>
        </is>
      </c>
      <c r="D136" s="16" t="inlineStr">
        <is>
          <t>MAĞAZA MÜDÜR YRD.</t>
        </is>
      </c>
      <c r="E136" s="16" t="inlineStr">
        <is>
          <t>KADRO</t>
        </is>
      </c>
      <c r="F136" s="16" t="inlineStr">
        <is>
          <t>13.10.2021</t>
        </is>
      </c>
      <c r="G136" s="16" t="inlineStr"/>
      <c r="H136" s="67" t="inlineStr">
        <is>
          <t>✓</t>
        </is>
      </c>
      <c r="I136" s="67" t="inlineStr">
        <is>
          <t>✓</t>
        </is>
      </c>
      <c r="J136" s="68" t="n">
        <v>4.884931506849315</v>
      </c>
    </row>
    <row r="137">
      <c r="A137" s="16" t="inlineStr">
        <is>
          <t>ALP. ŞEN.</t>
        </is>
      </c>
      <c r="B137" s="16" t="inlineStr">
        <is>
          <t>İST. YOLU</t>
        </is>
      </c>
      <c r="C137" s="16" t="inlineStr">
        <is>
          <t>AKADEMİ</t>
        </is>
      </c>
      <c r="D137" s="16" t="inlineStr">
        <is>
          <t>SATIŞ DANIŞMANI</t>
        </is>
      </c>
      <c r="E137" s="16" t="inlineStr">
        <is>
          <t>KADRO</t>
        </is>
      </c>
      <c r="F137" s="16" t="inlineStr">
        <is>
          <t>05.09.2023</t>
        </is>
      </c>
      <c r="G137" s="16" t="inlineStr"/>
      <c r="H137" s="67" t="inlineStr">
        <is>
          <t>✓</t>
        </is>
      </c>
      <c r="I137" s="67" t="inlineStr">
        <is>
          <t>✓</t>
        </is>
      </c>
      <c r="J137" s="68" t="n">
        <v>2.989041095890411</v>
      </c>
    </row>
    <row r="138">
      <c r="A138" s="16" t="inlineStr">
        <is>
          <t>HAS. ARD. BAY.</t>
        </is>
      </c>
      <c r="B138" s="16" t="inlineStr">
        <is>
          <t>İST. YOLU</t>
        </is>
      </c>
      <c r="C138" s="16" t="inlineStr">
        <is>
          <t>AKADEMİ</t>
        </is>
      </c>
      <c r="D138" s="16" t="inlineStr">
        <is>
          <t>SATIŞ DANIŞMANI</t>
        </is>
      </c>
      <c r="E138" s="16" t="inlineStr">
        <is>
          <t>KADRO</t>
        </is>
      </c>
      <c r="F138" s="16" t="inlineStr">
        <is>
          <t>20.08.2026</t>
        </is>
      </c>
      <c r="G138" s="16" t="inlineStr"/>
      <c r="H138" s="67" t="inlineStr"/>
      <c r="I138" s="67" t="inlineStr">
        <is>
          <t>✓</t>
        </is>
      </c>
      <c r="J138" s="68" t="n">
        <v>0.03013698630136986</v>
      </c>
    </row>
    <row r="139">
      <c r="A139" s="16" t="inlineStr">
        <is>
          <t>BAT. DER.</t>
        </is>
      </c>
      <c r="B139" s="16" t="inlineStr">
        <is>
          <t>İST. YOLU</t>
        </is>
      </c>
      <c r="C139" s="16" t="inlineStr">
        <is>
          <t>ÇOCUK</t>
        </is>
      </c>
      <c r="D139" s="16" t="inlineStr">
        <is>
          <t>SATIŞ DANIŞMANI</t>
        </is>
      </c>
      <c r="E139" s="16" t="inlineStr">
        <is>
          <t>KADRO</t>
        </is>
      </c>
      <c r="F139" s="16" t="inlineStr">
        <is>
          <t>17.09.2020</t>
        </is>
      </c>
      <c r="G139" s="16" t="inlineStr">
        <is>
          <t>31.05.2026</t>
        </is>
      </c>
      <c r="H139" s="67" t="inlineStr">
        <is>
          <t>✓</t>
        </is>
      </c>
      <c r="I139" s="67" t="inlineStr"/>
      <c r="J139" s="68" t="n">
        <v>5.704109589041096</v>
      </c>
    </row>
    <row r="140">
      <c r="A140" s="16" t="inlineStr">
        <is>
          <t>DUY. BAK.</t>
        </is>
      </c>
      <c r="B140" s="16" t="inlineStr">
        <is>
          <t>İST. YOLU</t>
        </is>
      </c>
      <c r="C140" s="16" t="inlineStr">
        <is>
          <t>ÇOCUK</t>
        </is>
      </c>
      <c r="D140" s="16" t="inlineStr">
        <is>
          <t>REYON ŞEFİ</t>
        </is>
      </c>
      <c r="E140" s="16" t="inlineStr">
        <is>
          <t>KADRO</t>
        </is>
      </c>
      <c r="F140" s="16" t="inlineStr">
        <is>
          <t>03.07.2023</t>
        </is>
      </c>
      <c r="G140" s="16" t="inlineStr"/>
      <c r="H140" s="67" t="inlineStr">
        <is>
          <t>✓</t>
        </is>
      </c>
      <c r="I140" s="67" t="inlineStr">
        <is>
          <t>✓</t>
        </is>
      </c>
      <c r="J140" s="68" t="n">
        <v>3.164383561643836</v>
      </c>
    </row>
    <row r="141">
      <c r="A141" s="16" t="inlineStr">
        <is>
          <t>ELİ. AŞA</t>
        </is>
      </c>
      <c r="B141" s="16" t="inlineStr">
        <is>
          <t>İST. YOLU</t>
        </is>
      </c>
      <c r="C141" s="16" t="inlineStr">
        <is>
          <t>ÇOCUK</t>
        </is>
      </c>
      <c r="D141" s="16" t="inlineStr">
        <is>
          <t>SATIŞ DANIŞMANI</t>
        </is>
      </c>
      <c r="E141" s="16" t="inlineStr">
        <is>
          <t>KADRO</t>
        </is>
      </c>
      <c r="F141" s="16" t="inlineStr">
        <is>
          <t>19.11.2024</t>
        </is>
      </c>
      <c r="G141" s="16" t="inlineStr">
        <is>
          <t>14.09.2025</t>
        </is>
      </c>
      <c r="H141" s="67" t="inlineStr">
        <is>
          <t>✓</t>
        </is>
      </c>
      <c r="I141" s="67" t="inlineStr"/>
      <c r="J141" s="68" t="n">
        <v>0.8191780821917808</v>
      </c>
    </row>
    <row r="142">
      <c r="A142" s="16" t="inlineStr">
        <is>
          <t>ÖZD. HAL. ÖZT.</t>
        </is>
      </c>
      <c r="B142" s="16" t="inlineStr">
        <is>
          <t>İST. YOLU</t>
        </is>
      </c>
      <c r="C142" s="16" t="inlineStr">
        <is>
          <t>ÇOCUK</t>
        </is>
      </c>
      <c r="D142" s="16" t="inlineStr">
        <is>
          <t>SATIŞ DANIŞMANI</t>
        </is>
      </c>
      <c r="E142" s="16" t="inlineStr">
        <is>
          <t>KADRO</t>
        </is>
      </c>
      <c r="F142" s="16" t="inlineStr">
        <is>
          <t>05.04.2025</t>
        </is>
      </c>
      <c r="G142" s="16" t="inlineStr">
        <is>
          <t>18.09.2025</t>
        </is>
      </c>
      <c r="H142" s="67" t="inlineStr">
        <is>
          <t>✓</t>
        </is>
      </c>
      <c r="I142" s="67" t="inlineStr"/>
      <c r="J142" s="68" t="n">
        <v>0.4547945205479452</v>
      </c>
    </row>
    <row r="143">
      <c r="A143" s="69" t="inlineStr">
        <is>
          <t>YIL. AKP.</t>
        </is>
      </c>
      <c r="B143" s="69" t="inlineStr">
        <is>
          <t>İST. YOLU</t>
        </is>
      </c>
      <c r="C143" s="69" t="inlineStr">
        <is>
          <t>ÇOCUK</t>
        </is>
      </c>
      <c r="D143" s="69" t="inlineStr">
        <is>
          <t>SATIŞ DANIŞMANI</t>
        </is>
      </c>
      <c r="E143" s="69" t="inlineStr">
        <is>
          <t>SEZONLUK</t>
        </is>
      </c>
      <c r="F143" s="69" t="inlineStr">
        <is>
          <t>15.08.2025</t>
        </is>
      </c>
      <c r="G143" s="69" t="inlineStr">
        <is>
          <t>30.06.2026</t>
        </is>
      </c>
      <c r="H143" s="70" t="inlineStr">
        <is>
          <t>✓</t>
        </is>
      </c>
      <c r="I143" s="70" t="inlineStr"/>
      <c r="J143" s="71" t="n">
        <v>0.873972602739726</v>
      </c>
    </row>
    <row r="144">
      <c r="A144" s="69" t="inlineStr">
        <is>
          <t>KAR. ÖZM.</t>
        </is>
      </c>
      <c r="B144" s="69" t="inlineStr">
        <is>
          <t>İST. YOLU</t>
        </is>
      </c>
      <c r="C144" s="69" t="inlineStr">
        <is>
          <t>ÇOCUK</t>
        </is>
      </c>
      <c r="D144" s="69" t="inlineStr">
        <is>
          <t>SATIŞ DANIŞMANI</t>
        </is>
      </c>
      <c r="E144" s="69" t="inlineStr">
        <is>
          <t>SEZONLUK</t>
        </is>
      </c>
      <c r="F144" s="69" t="inlineStr">
        <is>
          <t>27.08.2025</t>
        </is>
      </c>
      <c r="G144" s="69" t="inlineStr">
        <is>
          <t>15.10.2025</t>
        </is>
      </c>
      <c r="H144" s="70" t="inlineStr">
        <is>
          <t>✓</t>
        </is>
      </c>
      <c r="I144" s="70" t="inlineStr"/>
      <c r="J144" s="71" t="n">
        <v>0.1342465753424658</v>
      </c>
    </row>
    <row r="145">
      <c r="A145" s="16" t="inlineStr">
        <is>
          <t>NİS. NUR ELD.</t>
        </is>
      </c>
      <c r="B145" s="16" t="inlineStr">
        <is>
          <t>İST. YOLU</t>
        </is>
      </c>
      <c r="C145" s="16" t="inlineStr">
        <is>
          <t>ÇOCUK</t>
        </is>
      </c>
      <c r="D145" s="16" t="inlineStr">
        <is>
          <t>SATIŞ DANIŞMANI</t>
        </is>
      </c>
      <c r="E145" s="16" t="inlineStr">
        <is>
          <t>KADRO</t>
        </is>
      </c>
      <c r="F145" s="16" t="inlineStr">
        <is>
          <t>06.09.2025</t>
        </is>
      </c>
      <c r="G145" s="16" t="inlineStr"/>
      <c r="H145" s="67" t="inlineStr"/>
      <c r="I145" s="67" t="inlineStr">
        <is>
          <t>✓</t>
        </is>
      </c>
      <c r="J145" s="68" t="n">
        <v>0.9835616438356164</v>
      </c>
    </row>
    <row r="146">
      <c r="A146" s="16" t="inlineStr">
        <is>
          <t>SIR. BER. ESİ.</t>
        </is>
      </c>
      <c r="B146" s="16" t="inlineStr">
        <is>
          <t>İST. YOLU</t>
        </is>
      </c>
      <c r="C146" s="16" t="inlineStr">
        <is>
          <t>ÇOCUK</t>
        </is>
      </c>
      <c r="D146" s="16" t="inlineStr">
        <is>
          <t>SATIŞ DANIŞMANI</t>
        </is>
      </c>
      <c r="E146" s="16" t="inlineStr">
        <is>
          <t>KADRO</t>
        </is>
      </c>
      <c r="F146" s="16" t="inlineStr">
        <is>
          <t>20.05.2026</t>
        </is>
      </c>
      <c r="G146" s="16" t="inlineStr"/>
      <c r="H146" s="67" t="inlineStr"/>
      <c r="I146" s="67" t="inlineStr">
        <is>
          <t>✓</t>
        </is>
      </c>
      <c r="J146" s="68" t="n">
        <v>0.2821917808219178</v>
      </c>
    </row>
    <row r="147">
      <c r="A147" s="69" t="inlineStr">
        <is>
          <t>İRE. AKT.</t>
        </is>
      </c>
      <c r="B147" s="69" t="inlineStr">
        <is>
          <t>İST. YOLU</t>
        </is>
      </c>
      <c r="C147" s="69" t="inlineStr">
        <is>
          <t>ÇOCUK</t>
        </is>
      </c>
      <c r="D147" s="69" t="inlineStr">
        <is>
          <t>SATIŞ DANIŞMANI</t>
        </is>
      </c>
      <c r="E147" s="69" t="inlineStr">
        <is>
          <t>SEZONLUK</t>
        </is>
      </c>
      <c r="F147" s="69" t="inlineStr">
        <is>
          <t>18.08.2026</t>
        </is>
      </c>
      <c r="G147" s="69" t="inlineStr"/>
      <c r="H147" s="70" t="inlineStr"/>
      <c r="I147" s="70" t="inlineStr">
        <is>
          <t>✓</t>
        </is>
      </c>
      <c r="J147" s="71" t="n">
        <v>0.03561643835616438</v>
      </c>
    </row>
    <row r="148">
      <c r="A148" s="16" t="inlineStr">
        <is>
          <t>ZEY. SUD. GÜL.</t>
        </is>
      </c>
      <c r="B148" s="16" t="inlineStr">
        <is>
          <t>İST. YOLU</t>
        </is>
      </c>
      <c r="C148" s="16" t="inlineStr">
        <is>
          <t>ÇOCUK</t>
        </is>
      </c>
      <c r="D148" s="16" t="inlineStr">
        <is>
          <t>SATIŞ DANIŞMANI</t>
        </is>
      </c>
      <c r="E148" s="16" t="inlineStr">
        <is>
          <t>KADRO</t>
        </is>
      </c>
      <c r="F148" s="16" t="inlineStr">
        <is>
          <t>26.08.2026</t>
        </is>
      </c>
      <c r="G148" s="16" t="inlineStr"/>
      <c r="H148" s="67" t="inlineStr"/>
      <c r="I148" s="67" t="inlineStr">
        <is>
          <t>✓</t>
        </is>
      </c>
      <c r="J148" s="68" t="n">
        <v>0.0136986301369863</v>
      </c>
    </row>
    <row r="149">
      <c r="A149" s="69" t="inlineStr">
        <is>
          <t>MUH. YIL.</t>
        </is>
      </c>
      <c r="B149" s="69" t="inlineStr">
        <is>
          <t>İST. YOLU</t>
        </is>
      </c>
      <c r="C149" s="69" t="inlineStr">
        <is>
          <t>ÇOCUK</t>
        </is>
      </c>
      <c r="D149" s="69" t="inlineStr">
        <is>
          <t>SATIŞ DANIŞMANI</t>
        </is>
      </c>
      <c r="E149" s="69" t="inlineStr">
        <is>
          <t>SEZONLUK</t>
        </is>
      </c>
      <c r="F149" s="69" t="inlineStr">
        <is>
          <t>28.08.2026</t>
        </is>
      </c>
      <c r="G149" s="69" t="inlineStr"/>
      <c r="H149" s="70" t="inlineStr"/>
      <c r="I149" s="70" t="inlineStr">
        <is>
          <t>✓</t>
        </is>
      </c>
      <c r="J149" s="71" t="n">
        <v>0.00821917808219178</v>
      </c>
    </row>
    <row r="150">
      <c r="A150" s="16" t="inlineStr">
        <is>
          <t>ESR. ÇAL.</t>
        </is>
      </c>
      <c r="B150" s="16" t="inlineStr">
        <is>
          <t>İST. YOLU</t>
        </is>
      </c>
      <c r="C150" s="16" t="inlineStr">
        <is>
          <t>ETKİNLİK</t>
        </is>
      </c>
      <c r="D150" s="16" t="inlineStr">
        <is>
          <t>ETKİNLİK ORGANİZASYON SORUML.</t>
        </is>
      </c>
      <c r="E150" s="16" t="inlineStr">
        <is>
          <t>KADRO</t>
        </is>
      </c>
      <c r="F150" s="16" t="inlineStr">
        <is>
          <t>13.05.2025</t>
        </is>
      </c>
      <c r="G150" s="16" t="inlineStr"/>
      <c r="H150" s="67" t="inlineStr">
        <is>
          <t>✓</t>
        </is>
      </c>
      <c r="I150" s="67" t="inlineStr">
        <is>
          <t>✓</t>
        </is>
      </c>
      <c r="J150" s="68" t="n">
        <v>1.301369863013699</v>
      </c>
    </row>
    <row r="151">
      <c r="A151" s="16" t="inlineStr">
        <is>
          <t>MED. SOY.</t>
        </is>
      </c>
      <c r="B151" s="16" t="inlineStr">
        <is>
          <t>İST. YOLU</t>
        </is>
      </c>
      <c r="C151" s="16" t="inlineStr">
        <is>
          <t>İDARİ İŞLER</t>
        </is>
      </c>
      <c r="D151" s="16" t="inlineStr">
        <is>
          <t>TEMİZLİK PERSONELİ</t>
        </is>
      </c>
      <c r="E151" s="16" t="inlineStr">
        <is>
          <t>KADRO</t>
        </is>
      </c>
      <c r="F151" s="16" t="inlineStr">
        <is>
          <t>26.07.2025</t>
        </is>
      </c>
      <c r="G151" s="16" t="inlineStr"/>
      <c r="H151" s="67" t="inlineStr">
        <is>
          <t>✓</t>
        </is>
      </c>
      <c r="I151" s="67" t="inlineStr">
        <is>
          <t>✓</t>
        </is>
      </c>
      <c r="J151" s="68" t="n">
        <v>1.098630136986301</v>
      </c>
    </row>
    <row r="152">
      <c r="A152" s="16" t="inlineStr">
        <is>
          <t>AYŞ. DİK.</t>
        </is>
      </c>
      <c r="B152" s="16" t="inlineStr">
        <is>
          <t>İST. YOLU</t>
        </is>
      </c>
      <c r="C152" s="16" t="inlineStr">
        <is>
          <t>İDARİ İŞLER</t>
        </is>
      </c>
      <c r="D152" s="16" t="inlineStr">
        <is>
          <t>TEMİZLİK PERSONELİ</t>
        </is>
      </c>
      <c r="E152" s="16" t="inlineStr">
        <is>
          <t>KADRO</t>
        </is>
      </c>
      <c r="F152" s="16" t="inlineStr">
        <is>
          <t>01.08.2026</t>
        </is>
      </c>
      <c r="G152" s="16" t="inlineStr"/>
      <c r="H152" s="67" t="inlineStr"/>
      <c r="I152" s="67" t="inlineStr">
        <is>
          <t>✓</t>
        </is>
      </c>
      <c r="J152" s="68" t="n">
        <v>0.0821917808219178</v>
      </c>
    </row>
    <row r="153">
      <c r="A153" s="16" t="inlineStr">
        <is>
          <t>CER. NUR ŞEN.</t>
        </is>
      </c>
      <c r="B153" s="16" t="inlineStr">
        <is>
          <t>İST. YOLU</t>
        </is>
      </c>
      <c r="C153" s="16" t="inlineStr">
        <is>
          <t>KASA</t>
        </is>
      </c>
      <c r="D153" s="16" t="inlineStr">
        <is>
          <t>KASA ŞEFİ YARDIMCISI</t>
        </is>
      </c>
      <c r="E153" s="16" t="inlineStr">
        <is>
          <t>KADRO</t>
        </is>
      </c>
      <c r="F153" s="16" t="inlineStr">
        <is>
          <t>01.06.2024</t>
        </is>
      </c>
      <c r="G153" s="16" t="inlineStr"/>
      <c r="H153" s="67" t="inlineStr">
        <is>
          <t>✓</t>
        </is>
      </c>
      <c r="I153" s="67" t="inlineStr">
        <is>
          <t>✓</t>
        </is>
      </c>
      <c r="J153" s="68" t="n">
        <v>2.249315068493151</v>
      </c>
    </row>
    <row r="154">
      <c r="A154" s="16" t="inlineStr">
        <is>
          <t>EDA. TÜY.</t>
        </is>
      </c>
      <c r="B154" s="16" t="inlineStr">
        <is>
          <t>İST. YOLU</t>
        </is>
      </c>
      <c r="C154" s="16" t="inlineStr">
        <is>
          <t>KASA</t>
        </is>
      </c>
      <c r="D154" s="16" t="inlineStr">
        <is>
          <t>KASİYER</t>
        </is>
      </c>
      <c r="E154" s="16" t="inlineStr">
        <is>
          <t>KADRO</t>
        </is>
      </c>
      <c r="F154" s="16" t="inlineStr">
        <is>
          <t>02.01.2025</t>
        </is>
      </c>
      <c r="G154" s="16" t="inlineStr">
        <is>
          <t>30.09.2025</t>
        </is>
      </c>
      <c r="H154" s="67" t="inlineStr">
        <is>
          <t>✓</t>
        </is>
      </c>
      <c r="I154" s="67" t="inlineStr"/>
      <c r="J154" s="68" t="n">
        <v>0.7424657534246575</v>
      </c>
    </row>
    <row r="155">
      <c r="A155" s="16" t="inlineStr">
        <is>
          <t>YÖR. BOR.</t>
        </is>
      </c>
      <c r="B155" s="16" t="inlineStr">
        <is>
          <t>İST. YOLU</t>
        </is>
      </c>
      <c r="C155" s="16" t="inlineStr">
        <is>
          <t>KASA</t>
        </is>
      </c>
      <c r="D155" s="16" t="inlineStr">
        <is>
          <t>KASA ŞEFİ</t>
        </is>
      </c>
      <c r="E155" s="16" t="inlineStr">
        <is>
          <t>KADRO</t>
        </is>
      </c>
      <c r="F155" s="16" t="inlineStr">
        <is>
          <t>10.04.2025</t>
        </is>
      </c>
      <c r="G155" s="16" t="inlineStr"/>
      <c r="H155" s="67" t="inlineStr">
        <is>
          <t>✓</t>
        </is>
      </c>
      <c r="I155" s="67" t="inlineStr">
        <is>
          <t>✓</t>
        </is>
      </c>
      <c r="J155" s="68" t="n">
        <v>1.391780821917808</v>
      </c>
    </row>
    <row r="156">
      <c r="A156" s="69" t="inlineStr">
        <is>
          <t>GÖZ. EKİ.</t>
        </is>
      </c>
      <c r="B156" s="69" t="inlineStr">
        <is>
          <t>İST. YOLU</t>
        </is>
      </c>
      <c r="C156" s="69" t="inlineStr">
        <is>
          <t>KASA</t>
        </is>
      </c>
      <c r="D156" s="69" t="inlineStr">
        <is>
          <t>KASİYER</t>
        </is>
      </c>
      <c r="E156" s="69" t="inlineStr">
        <is>
          <t>SEZONLUK</t>
        </is>
      </c>
      <c r="F156" s="69" t="inlineStr">
        <is>
          <t>25.07.2025</t>
        </is>
      </c>
      <c r="G156" s="69" t="inlineStr">
        <is>
          <t>15.09.2025</t>
        </is>
      </c>
      <c r="H156" s="70" t="inlineStr">
        <is>
          <t>✓</t>
        </is>
      </c>
      <c r="I156" s="70" t="inlineStr"/>
      <c r="J156" s="71" t="n">
        <v>0.1424657534246575</v>
      </c>
    </row>
    <row r="157">
      <c r="A157" s="69" t="inlineStr">
        <is>
          <t>BUS. AYD.</t>
        </is>
      </c>
      <c r="B157" s="69" t="inlineStr">
        <is>
          <t>İST. YOLU</t>
        </is>
      </c>
      <c r="C157" s="69" t="inlineStr">
        <is>
          <t>KASA</t>
        </is>
      </c>
      <c r="D157" s="69" t="inlineStr">
        <is>
          <t>KASİYER</t>
        </is>
      </c>
      <c r="E157" s="69" t="inlineStr">
        <is>
          <t>SEZONLUK</t>
        </is>
      </c>
      <c r="F157" s="69" t="inlineStr">
        <is>
          <t>15.08.2025</t>
        </is>
      </c>
      <c r="G157" s="69" t="inlineStr">
        <is>
          <t>09.11.2025</t>
        </is>
      </c>
      <c r="H157" s="70" t="inlineStr">
        <is>
          <t>✓</t>
        </is>
      </c>
      <c r="I157" s="70" t="inlineStr"/>
      <c r="J157" s="71" t="n">
        <v>0.2356164383561644</v>
      </c>
    </row>
    <row r="158">
      <c r="A158" s="69" t="inlineStr">
        <is>
          <t>ESE. KIL.</t>
        </is>
      </c>
      <c r="B158" s="69" t="inlineStr">
        <is>
          <t>İST. YOLU</t>
        </is>
      </c>
      <c r="C158" s="69" t="inlineStr">
        <is>
          <t>KASA</t>
        </is>
      </c>
      <c r="D158" s="69" t="inlineStr">
        <is>
          <t>KASİYER</t>
        </is>
      </c>
      <c r="E158" s="69" t="inlineStr">
        <is>
          <t>SEZONLUK</t>
        </is>
      </c>
      <c r="F158" s="69" t="inlineStr">
        <is>
          <t>15.08.2025</t>
        </is>
      </c>
      <c r="G158" s="69" t="inlineStr">
        <is>
          <t>18.09.2025</t>
        </is>
      </c>
      <c r="H158" s="70" t="inlineStr">
        <is>
          <t>✓</t>
        </is>
      </c>
      <c r="I158" s="70" t="inlineStr"/>
      <c r="J158" s="71" t="n">
        <v>0.09315068493150686</v>
      </c>
    </row>
    <row r="159">
      <c r="A159" s="69" t="inlineStr">
        <is>
          <t>SUD. AYT.</t>
        </is>
      </c>
      <c r="B159" s="69" t="inlineStr">
        <is>
          <t>İST. YOLU</t>
        </is>
      </c>
      <c r="C159" s="69" t="inlineStr">
        <is>
          <t>KASA</t>
        </is>
      </c>
      <c r="D159" s="69" t="inlineStr">
        <is>
          <t>KASİYER</t>
        </is>
      </c>
      <c r="E159" s="69" t="inlineStr">
        <is>
          <t>SEZONLUK</t>
        </is>
      </c>
      <c r="F159" s="69" t="inlineStr">
        <is>
          <t>15.08.2025</t>
        </is>
      </c>
      <c r="G159" s="69" t="inlineStr">
        <is>
          <t>21.09.2025</t>
        </is>
      </c>
      <c r="H159" s="70" t="inlineStr">
        <is>
          <t>✓</t>
        </is>
      </c>
      <c r="I159" s="70" t="inlineStr"/>
      <c r="J159" s="71" t="n">
        <v>0.1013698630136986</v>
      </c>
    </row>
    <row r="160">
      <c r="A160" s="69" t="inlineStr">
        <is>
          <t>HUR. ALE. AKC.</t>
        </is>
      </c>
      <c r="B160" s="69" t="inlineStr">
        <is>
          <t>İST. YOLU</t>
        </is>
      </c>
      <c r="C160" s="69" t="inlineStr">
        <is>
          <t>KASA</t>
        </is>
      </c>
      <c r="D160" s="69" t="inlineStr">
        <is>
          <t>KASİYER</t>
        </is>
      </c>
      <c r="E160" s="69" t="inlineStr">
        <is>
          <t>SEZONLUK</t>
        </is>
      </c>
      <c r="F160" s="69" t="inlineStr">
        <is>
          <t>16.08.2025</t>
        </is>
      </c>
      <c r="G160" s="69" t="inlineStr">
        <is>
          <t>15.09.2025</t>
        </is>
      </c>
      <c r="H160" s="70" t="inlineStr">
        <is>
          <t>✓</t>
        </is>
      </c>
      <c r="I160" s="70" t="inlineStr"/>
      <c r="J160" s="71" t="n">
        <v>0.0821917808219178</v>
      </c>
    </row>
    <row r="161">
      <c r="A161" s="16" t="inlineStr">
        <is>
          <t>GÜL. ALK.</t>
        </is>
      </c>
      <c r="B161" s="16" t="inlineStr">
        <is>
          <t>İST. YOLU</t>
        </is>
      </c>
      <c r="C161" s="16" t="inlineStr">
        <is>
          <t>KASA</t>
        </is>
      </c>
      <c r="D161" s="16" t="inlineStr">
        <is>
          <t>KASİYER</t>
        </is>
      </c>
      <c r="E161" s="16" t="inlineStr">
        <is>
          <t>KADRO</t>
        </is>
      </c>
      <c r="F161" s="16" t="inlineStr">
        <is>
          <t>25.12.2025</t>
        </is>
      </c>
      <c r="G161" s="16" t="inlineStr"/>
      <c r="H161" s="67" t="inlineStr"/>
      <c r="I161" s="67" t="inlineStr">
        <is>
          <t>✓</t>
        </is>
      </c>
      <c r="J161" s="68" t="n">
        <v>0.6821917808219178</v>
      </c>
    </row>
    <row r="162">
      <c r="A162" s="16" t="inlineStr">
        <is>
          <t>MER. ÇAK.</t>
        </is>
      </c>
      <c r="B162" s="16" t="inlineStr">
        <is>
          <t>İST. YOLU</t>
        </is>
      </c>
      <c r="C162" s="16" t="inlineStr">
        <is>
          <t>KASA</t>
        </is>
      </c>
      <c r="D162" s="16" t="inlineStr">
        <is>
          <t>KASİYER</t>
        </is>
      </c>
      <c r="E162" s="16" t="inlineStr">
        <is>
          <t>KADRO</t>
        </is>
      </c>
      <c r="F162" s="16" t="inlineStr">
        <is>
          <t>15.05.2026</t>
        </is>
      </c>
      <c r="G162" s="16" t="inlineStr"/>
      <c r="H162" s="67" t="inlineStr"/>
      <c r="I162" s="67" t="inlineStr">
        <is>
          <t>✓</t>
        </is>
      </c>
      <c r="J162" s="68" t="n">
        <v>0.2958904109589041</v>
      </c>
    </row>
    <row r="163">
      <c r="A163" s="69" t="inlineStr">
        <is>
          <t>ESE. KIL.</t>
        </is>
      </c>
      <c r="B163" s="69" t="inlineStr">
        <is>
          <t>İST. YOLU</t>
        </is>
      </c>
      <c r="C163" s="69" t="inlineStr">
        <is>
          <t>KASA</t>
        </is>
      </c>
      <c r="D163" s="69" t="inlineStr">
        <is>
          <t>KASİYER</t>
        </is>
      </c>
      <c r="E163" s="69" t="inlineStr">
        <is>
          <t>SEZONLUK</t>
        </is>
      </c>
      <c r="F163" s="69" t="inlineStr">
        <is>
          <t>01.08.2026</t>
        </is>
      </c>
      <c r="G163" s="69" t="inlineStr"/>
      <c r="H163" s="70" t="inlineStr"/>
      <c r="I163" s="70" t="inlineStr">
        <is>
          <t>✓</t>
        </is>
      </c>
      <c r="J163" s="71" t="n">
        <v>0.0821917808219178</v>
      </c>
    </row>
    <row r="164">
      <c r="A164" s="16" t="inlineStr">
        <is>
          <t>NES. DUM.</t>
        </is>
      </c>
      <c r="B164" s="16" t="inlineStr">
        <is>
          <t>İST. YOLU</t>
        </is>
      </c>
      <c r="C164" s="16" t="inlineStr">
        <is>
          <t>KASA</t>
        </is>
      </c>
      <c r="D164" s="16" t="inlineStr">
        <is>
          <t>SATIŞ DANIŞMANI</t>
        </is>
      </c>
      <c r="E164" s="16" t="inlineStr">
        <is>
          <t>KADRO</t>
        </is>
      </c>
      <c r="F164" s="16" t="inlineStr">
        <is>
          <t>10.08.2026</t>
        </is>
      </c>
      <c r="G164" s="16" t="inlineStr"/>
      <c r="H164" s="67" t="inlineStr"/>
      <c r="I164" s="67" t="inlineStr">
        <is>
          <t>✓</t>
        </is>
      </c>
      <c r="J164" s="68" t="n">
        <v>0.05753424657534247</v>
      </c>
    </row>
    <row r="165">
      <c r="A165" s="69" t="inlineStr">
        <is>
          <t>GÖZ. EKİ.</t>
        </is>
      </c>
      <c r="B165" s="69" t="inlineStr">
        <is>
          <t>İST. YOLU</t>
        </is>
      </c>
      <c r="C165" s="69" t="inlineStr">
        <is>
          <t>KASA</t>
        </is>
      </c>
      <c r="D165" s="69" t="inlineStr">
        <is>
          <t>KASİYER</t>
        </is>
      </c>
      <c r="E165" s="69" t="inlineStr">
        <is>
          <t>SEZONLUK</t>
        </is>
      </c>
      <c r="F165" s="69" t="inlineStr">
        <is>
          <t>10.08.2026</t>
        </is>
      </c>
      <c r="G165" s="69" t="inlineStr"/>
      <c r="H165" s="70" t="inlineStr"/>
      <c r="I165" s="70" t="inlineStr">
        <is>
          <t>✓</t>
        </is>
      </c>
      <c r="J165" s="71" t="n">
        <v>0.05753424657534247</v>
      </c>
    </row>
    <row r="166">
      <c r="A166" s="69" t="inlineStr">
        <is>
          <t>SUD. DOĞ.</t>
        </is>
      </c>
      <c r="B166" s="69" t="inlineStr">
        <is>
          <t>İST. YOLU</t>
        </is>
      </c>
      <c r="C166" s="69" t="inlineStr">
        <is>
          <t>KASA</t>
        </is>
      </c>
      <c r="D166" s="69" t="inlineStr">
        <is>
          <t>KASİYER</t>
        </is>
      </c>
      <c r="E166" s="69" t="inlineStr">
        <is>
          <t>SEZONLUK</t>
        </is>
      </c>
      <c r="F166" s="69" t="inlineStr">
        <is>
          <t>14.08.2026</t>
        </is>
      </c>
      <c r="G166" s="69" t="inlineStr"/>
      <c r="H166" s="70" t="inlineStr"/>
      <c r="I166" s="70" t="inlineStr">
        <is>
          <t>✓</t>
        </is>
      </c>
      <c r="J166" s="71" t="n">
        <v>0.04657534246575343</v>
      </c>
    </row>
    <row r="167">
      <c r="A167" s="69" t="inlineStr">
        <is>
          <t>SÜS. DED.</t>
        </is>
      </c>
      <c r="B167" s="69" t="inlineStr">
        <is>
          <t>İST. YOLU</t>
        </is>
      </c>
      <c r="C167" s="69" t="inlineStr">
        <is>
          <t>KASA</t>
        </is>
      </c>
      <c r="D167" s="69" t="inlineStr">
        <is>
          <t>KASİYER</t>
        </is>
      </c>
      <c r="E167" s="69" t="inlineStr">
        <is>
          <t>SEZONLUK</t>
        </is>
      </c>
      <c r="F167" s="69" t="inlineStr">
        <is>
          <t>18.08.2026</t>
        </is>
      </c>
      <c r="G167" s="69" t="inlineStr"/>
      <c r="H167" s="70" t="inlineStr"/>
      <c r="I167" s="70" t="inlineStr">
        <is>
          <t>✓</t>
        </is>
      </c>
      <c r="J167" s="71" t="n">
        <v>0.03561643835616438</v>
      </c>
    </row>
    <row r="168">
      <c r="A168" s="16" t="inlineStr">
        <is>
          <t>ÖME. ÇAĞ. TOK.</t>
        </is>
      </c>
      <c r="B168" s="16" t="inlineStr">
        <is>
          <t>İST. YOLU</t>
        </is>
      </c>
      <c r="C168" s="16" t="inlineStr">
        <is>
          <t>KIRTASİYE</t>
        </is>
      </c>
      <c r="D168" s="16" t="inlineStr">
        <is>
          <t>SATIŞ DANIŞMANI</t>
        </is>
      </c>
      <c r="E168" s="16" t="inlineStr">
        <is>
          <t>KADRO</t>
        </is>
      </c>
      <c r="F168" s="16" t="inlineStr">
        <is>
          <t>11.04.2023</t>
        </is>
      </c>
      <c r="G168" s="16" t="inlineStr"/>
      <c r="H168" s="67" t="inlineStr">
        <is>
          <t>✓</t>
        </is>
      </c>
      <c r="I168" s="67" t="inlineStr">
        <is>
          <t>✓</t>
        </is>
      </c>
      <c r="J168" s="68" t="n">
        <v>3.391780821917808</v>
      </c>
    </row>
    <row r="169">
      <c r="A169" s="16" t="inlineStr">
        <is>
          <t>ÖME. FAR. ATA.</t>
        </is>
      </c>
      <c r="B169" s="16" t="inlineStr">
        <is>
          <t>İST. YOLU</t>
        </is>
      </c>
      <c r="C169" s="16" t="inlineStr">
        <is>
          <t>KIRTASİYE</t>
        </is>
      </c>
      <c r="D169" s="16" t="inlineStr">
        <is>
          <t>REYON ŞEFİ</t>
        </is>
      </c>
      <c r="E169" s="16" t="inlineStr">
        <is>
          <t>KADRO</t>
        </is>
      </c>
      <c r="F169" s="16" t="inlineStr">
        <is>
          <t>11.09.2023</t>
        </is>
      </c>
      <c r="G169" s="16" t="inlineStr"/>
      <c r="H169" s="67" t="inlineStr">
        <is>
          <t>✓</t>
        </is>
      </c>
      <c r="I169" s="67" t="inlineStr">
        <is>
          <t>✓</t>
        </is>
      </c>
      <c r="J169" s="68" t="n">
        <v>2.972602739726027</v>
      </c>
    </row>
    <row r="170">
      <c r="A170" s="69" t="inlineStr">
        <is>
          <t>SEN. GÜL.</t>
        </is>
      </c>
      <c r="B170" s="69" t="inlineStr">
        <is>
          <t>İST. YOLU</t>
        </is>
      </c>
      <c r="C170" s="69" t="inlineStr">
        <is>
          <t>KIRTASİYE</t>
        </is>
      </c>
      <c r="D170" s="69" t="inlineStr">
        <is>
          <t>SATIŞ DANIŞMANI</t>
        </is>
      </c>
      <c r="E170" s="69" t="inlineStr">
        <is>
          <t>SEZONLUK</t>
        </is>
      </c>
      <c r="F170" s="69" t="inlineStr">
        <is>
          <t>01.07.2025</t>
        </is>
      </c>
      <c r="G170" s="69" t="inlineStr">
        <is>
          <t>21.09.2025</t>
        </is>
      </c>
      <c r="H170" s="70" t="inlineStr">
        <is>
          <t>✓</t>
        </is>
      </c>
      <c r="I170" s="70" t="inlineStr"/>
      <c r="J170" s="71" t="n">
        <v>0.2246575342465753</v>
      </c>
    </row>
    <row r="171">
      <c r="A171" s="69" t="inlineStr">
        <is>
          <t>ARD. GEN.</t>
        </is>
      </c>
      <c r="B171" s="69" t="inlineStr">
        <is>
          <t>İST. YOLU</t>
        </is>
      </c>
      <c r="C171" s="69" t="inlineStr">
        <is>
          <t>KIRTASİYE</t>
        </is>
      </c>
      <c r="D171" s="69" t="inlineStr">
        <is>
          <t>SATIŞ DANIŞMANI</t>
        </is>
      </c>
      <c r="E171" s="69" t="inlineStr">
        <is>
          <t>SEZONLUK</t>
        </is>
      </c>
      <c r="F171" s="69" t="inlineStr">
        <is>
          <t>01.08.2025</t>
        </is>
      </c>
      <c r="G171" s="69" t="inlineStr">
        <is>
          <t>10.09.2025</t>
        </is>
      </c>
      <c r="H171" s="70" t="inlineStr">
        <is>
          <t>✓</t>
        </is>
      </c>
      <c r="I171" s="70" t="inlineStr"/>
      <c r="J171" s="71" t="n">
        <v>0.1095890410958904</v>
      </c>
    </row>
    <row r="172">
      <c r="A172" s="16" t="inlineStr">
        <is>
          <t>FAT. ATE.</t>
        </is>
      </c>
      <c r="B172" s="16" t="inlineStr">
        <is>
          <t>İST. YOLU</t>
        </is>
      </c>
      <c r="C172" s="16" t="inlineStr">
        <is>
          <t>KIRTASİYE</t>
        </is>
      </c>
      <c r="D172" s="16" t="inlineStr">
        <is>
          <t>SATIŞ DANIŞMANI</t>
        </is>
      </c>
      <c r="E172" s="16" t="inlineStr">
        <is>
          <t>KADRO</t>
        </is>
      </c>
      <c r="F172" s="16" t="inlineStr">
        <is>
          <t>02.08.2025</t>
        </is>
      </c>
      <c r="G172" s="16" t="inlineStr"/>
      <c r="H172" s="67" t="inlineStr">
        <is>
          <t>✓</t>
        </is>
      </c>
      <c r="I172" s="67" t="inlineStr">
        <is>
          <t>✓</t>
        </is>
      </c>
      <c r="J172" s="68" t="n">
        <v>1.079452054794521</v>
      </c>
    </row>
    <row r="173">
      <c r="A173" s="69" t="inlineStr">
        <is>
          <t>HAM. SAR.</t>
        </is>
      </c>
      <c r="B173" s="69" t="inlineStr">
        <is>
          <t>İST. YOLU</t>
        </is>
      </c>
      <c r="C173" s="69" t="inlineStr">
        <is>
          <t>KIRTASİYE</t>
        </is>
      </c>
      <c r="D173" s="69" t="inlineStr">
        <is>
          <t>SATIŞ DANIŞMANI</t>
        </is>
      </c>
      <c r="E173" s="69" t="inlineStr">
        <is>
          <t>SEZONLUK</t>
        </is>
      </c>
      <c r="F173" s="69" t="inlineStr">
        <is>
          <t>05.08.2025</t>
        </is>
      </c>
      <c r="G173" s="69" t="inlineStr">
        <is>
          <t>09.09.2025</t>
        </is>
      </c>
      <c r="H173" s="70" t="inlineStr">
        <is>
          <t>✓</t>
        </is>
      </c>
      <c r="I173" s="70" t="inlineStr"/>
      <c r="J173" s="71" t="n">
        <v>0.0958904109589041</v>
      </c>
    </row>
    <row r="174">
      <c r="A174" s="16" t="inlineStr">
        <is>
          <t>ZEY. KUŞ.</t>
        </is>
      </c>
      <c r="B174" s="16" t="inlineStr">
        <is>
          <t>İST. YOLU</t>
        </is>
      </c>
      <c r="C174" s="16" t="inlineStr">
        <is>
          <t>KIRTASİYE</t>
        </is>
      </c>
      <c r="D174" s="16" t="inlineStr">
        <is>
          <t>SATIŞ DANIŞMANI</t>
        </is>
      </c>
      <c r="E174" s="16" t="inlineStr">
        <is>
          <t>KADRO</t>
        </is>
      </c>
      <c r="F174" s="16" t="inlineStr">
        <is>
          <t>14.08.2025</t>
        </is>
      </c>
      <c r="G174" s="16" t="inlineStr">
        <is>
          <t>09.11.2025</t>
        </is>
      </c>
      <c r="H174" s="67" t="inlineStr">
        <is>
          <t>✓</t>
        </is>
      </c>
      <c r="I174" s="67" t="inlineStr"/>
      <c r="J174" s="68" t="n">
        <v>0.2383561643835616</v>
      </c>
    </row>
    <row r="175">
      <c r="A175" s="69" t="inlineStr">
        <is>
          <t>ŞEV. ÇAK.</t>
        </is>
      </c>
      <c r="B175" s="69" t="inlineStr">
        <is>
          <t>İST. YOLU</t>
        </is>
      </c>
      <c r="C175" s="69" t="inlineStr">
        <is>
          <t>KIRTASİYE</t>
        </is>
      </c>
      <c r="D175" s="69" t="inlineStr">
        <is>
          <t>SATIŞ DANIŞMANI</t>
        </is>
      </c>
      <c r="E175" s="69" t="inlineStr">
        <is>
          <t>SEZONLUK</t>
        </is>
      </c>
      <c r="F175" s="69" t="inlineStr">
        <is>
          <t>15.08.2025</t>
        </is>
      </c>
      <c r="G175" s="69" t="inlineStr">
        <is>
          <t>19.09.2025</t>
        </is>
      </c>
      <c r="H175" s="70" t="inlineStr">
        <is>
          <t>✓</t>
        </is>
      </c>
      <c r="I175" s="70" t="inlineStr"/>
      <c r="J175" s="71" t="n">
        <v>0.0958904109589041</v>
      </c>
    </row>
    <row r="176">
      <c r="A176" s="16" t="inlineStr">
        <is>
          <t>MER. YIL.</t>
        </is>
      </c>
      <c r="B176" s="16" t="inlineStr">
        <is>
          <t>İST. YOLU</t>
        </is>
      </c>
      <c r="C176" s="16" t="inlineStr">
        <is>
          <t>KIRTASİYE</t>
        </is>
      </c>
      <c r="D176" s="16" t="inlineStr">
        <is>
          <t>SATIŞ DANIŞMANI</t>
        </is>
      </c>
      <c r="E176" s="16" t="inlineStr">
        <is>
          <t>KADRO</t>
        </is>
      </c>
      <c r="F176" s="16" t="inlineStr">
        <is>
          <t>15.08.2025</t>
        </is>
      </c>
      <c r="G176" s="16" t="inlineStr"/>
      <c r="H176" s="67" t="inlineStr">
        <is>
          <t>✓</t>
        </is>
      </c>
      <c r="I176" s="67" t="inlineStr">
        <is>
          <t>✓</t>
        </is>
      </c>
      <c r="J176" s="68" t="n">
        <v>1.043835616438356</v>
      </c>
    </row>
    <row r="177">
      <c r="A177" s="69" t="inlineStr">
        <is>
          <t>ZEK. ÖZD.</t>
        </is>
      </c>
      <c r="B177" s="69" t="inlineStr">
        <is>
          <t>İST. YOLU</t>
        </is>
      </c>
      <c r="C177" s="69" t="inlineStr">
        <is>
          <t>KIRTASİYE</t>
        </is>
      </c>
      <c r="D177" s="69" t="inlineStr">
        <is>
          <t>SATIŞ DANIŞMANI</t>
        </is>
      </c>
      <c r="E177" s="69" t="inlineStr">
        <is>
          <t>SEZONLUK</t>
        </is>
      </c>
      <c r="F177" s="69" t="inlineStr">
        <is>
          <t>15.08.2025</t>
        </is>
      </c>
      <c r="G177" s="69" t="inlineStr">
        <is>
          <t>30.09.2025</t>
        </is>
      </c>
      <c r="H177" s="70" t="inlineStr">
        <is>
          <t>✓</t>
        </is>
      </c>
      <c r="I177" s="70" t="inlineStr"/>
      <c r="J177" s="71" t="n">
        <v>0.126027397260274</v>
      </c>
    </row>
    <row r="178">
      <c r="A178" s="69" t="inlineStr">
        <is>
          <t>YAS. DUM.</t>
        </is>
      </c>
      <c r="B178" s="69" t="inlineStr">
        <is>
          <t>İST. YOLU</t>
        </is>
      </c>
      <c r="C178" s="69" t="inlineStr">
        <is>
          <t>KIRTASİYE</t>
        </is>
      </c>
      <c r="D178" s="69" t="inlineStr">
        <is>
          <t>SATIŞ DANIŞMANI</t>
        </is>
      </c>
      <c r="E178" s="69" t="inlineStr">
        <is>
          <t>SEZONLUK</t>
        </is>
      </c>
      <c r="F178" s="69" t="inlineStr">
        <is>
          <t>26.08.2025</t>
        </is>
      </c>
      <c r="G178" s="69" t="inlineStr">
        <is>
          <t>17.09.2025</t>
        </is>
      </c>
      <c r="H178" s="70" t="inlineStr">
        <is>
          <t>✓</t>
        </is>
      </c>
      <c r="I178" s="70" t="inlineStr"/>
      <c r="J178" s="71" t="n">
        <v>0.06027397260273973</v>
      </c>
    </row>
    <row r="179">
      <c r="A179" s="69" t="inlineStr">
        <is>
          <t>MAH. KAR.</t>
        </is>
      </c>
      <c r="B179" s="69" t="inlineStr">
        <is>
          <t>İST. YOLU</t>
        </is>
      </c>
      <c r="C179" s="69" t="inlineStr">
        <is>
          <t>KIRTASİYE</t>
        </is>
      </c>
      <c r="D179" s="69" t="inlineStr">
        <is>
          <t>SATIŞ DANIŞMANI</t>
        </is>
      </c>
      <c r="E179" s="69" t="inlineStr">
        <is>
          <t>SEZONLUK</t>
        </is>
      </c>
      <c r="F179" s="69" t="inlineStr">
        <is>
          <t>26.08.2025</t>
        </is>
      </c>
      <c r="G179" s="69" t="inlineStr">
        <is>
          <t>14.09.2025</t>
        </is>
      </c>
      <c r="H179" s="70" t="inlineStr">
        <is>
          <t>✓</t>
        </is>
      </c>
      <c r="I179" s="70" t="inlineStr"/>
      <c r="J179" s="71" t="n">
        <v>0.05205479452054795</v>
      </c>
    </row>
    <row r="180">
      <c r="A180" s="16" t="inlineStr">
        <is>
          <t>EMR. ENG.</t>
        </is>
      </c>
      <c r="B180" s="16" t="inlineStr">
        <is>
          <t>İST. YOLU</t>
        </is>
      </c>
      <c r="C180" s="16" t="inlineStr">
        <is>
          <t>KIRTASİYE</t>
        </is>
      </c>
      <c r="D180" s="16" t="inlineStr">
        <is>
          <t>SATIŞ DANIŞMANI</t>
        </is>
      </c>
      <c r="E180" s="16" t="inlineStr">
        <is>
          <t>KADRO</t>
        </is>
      </c>
      <c r="F180" s="16" t="inlineStr">
        <is>
          <t>10.11.2025</t>
        </is>
      </c>
      <c r="G180" s="16" t="inlineStr"/>
      <c r="H180" s="67" t="inlineStr"/>
      <c r="I180" s="67" t="inlineStr">
        <is>
          <t>✓</t>
        </is>
      </c>
      <c r="J180" s="68" t="n">
        <v>0.8054794520547945</v>
      </c>
    </row>
    <row r="181">
      <c r="A181" s="16" t="inlineStr">
        <is>
          <t>MUA. ŞAH.</t>
        </is>
      </c>
      <c r="B181" s="16" t="inlineStr">
        <is>
          <t>İST. YOLU</t>
        </is>
      </c>
      <c r="C181" s="16" t="inlineStr">
        <is>
          <t>KIRTASİYE</t>
        </is>
      </c>
      <c r="D181" s="16" t="inlineStr">
        <is>
          <t>SATIŞ DANIŞMANI</t>
        </is>
      </c>
      <c r="E181" s="16" t="inlineStr">
        <is>
          <t>KADRO</t>
        </is>
      </c>
      <c r="F181" s="16" t="inlineStr">
        <is>
          <t>03.08.2026</t>
        </is>
      </c>
      <c r="G181" s="16" t="inlineStr"/>
      <c r="H181" s="67" t="inlineStr"/>
      <c r="I181" s="67" t="inlineStr">
        <is>
          <t>✓</t>
        </is>
      </c>
      <c r="J181" s="68" t="n">
        <v>0.07671232876712329</v>
      </c>
    </row>
    <row r="182">
      <c r="A182" s="69" t="inlineStr">
        <is>
          <t>ŞEV. IŞI.</t>
        </is>
      </c>
      <c r="B182" s="69" t="inlineStr">
        <is>
          <t>İST. YOLU</t>
        </is>
      </c>
      <c r="C182" s="69" t="inlineStr">
        <is>
          <t>KIRTASİYE</t>
        </is>
      </c>
      <c r="D182" s="69" t="inlineStr">
        <is>
          <t>SATIŞ DANIŞMANI</t>
        </is>
      </c>
      <c r="E182" s="69" t="inlineStr">
        <is>
          <t>SEZONLUK</t>
        </is>
      </c>
      <c r="F182" s="69" t="inlineStr">
        <is>
          <t>03.08.2026</t>
        </is>
      </c>
      <c r="G182" s="69" t="inlineStr"/>
      <c r="H182" s="70" t="inlineStr"/>
      <c r="I182" s="70" t="inlineStr">
        <is>
          <t>✓</t>
        </is>
      </c>
      <c r="J182" s="71" t="n">
        <v>0.07671232876712329</v>
      </c>
    </row>
    <row r="183">
      <c r="A183" s="69" t="inlineStr">
        <is>
          <t>ZEK. ÖZD.</t>
        </is>
      </c>
      <c r="B183" s="69" t="inlineStr">
        <is>
          <t>İST. YOLU</t>
        </is>
      </c>
      <c r="C183" s="69" t="inlineStr">
        <is>
          <t>KIRTASİYE</t>
        </is>
      </c>
      <c r="D183" s="69" t="inlineStr">
        <is>
          <t>SATIŞ DANIŞMANI</t>
        </is>
      </c>
      <c r="E183" s="69" t="inlineStr">
        <is>
          <t>SEZONLUK</t>
        </is>
      </c>
      <c r="F183" s="69" t="inlineStr">
        <is>
          <t>03.08.2026</t>
        </is>
      </c>
      <c r="G183" s="69" t="inlineStr"/>
      <c r="H183" s="70" t="inlineStr"/>
      <c r="I183" s="70" t="inlineStr">
        <is>
          <t>✓</t>
        </is>
      </c>
      <c r="J183" s="71" t="n">
        <v>0.07671232876712329</v>
      </c>
    </row>
    <row r="184">
      <c r="A184" s="69" t="inlineStr">
        <is>
          <t>ZEY. KUŞ.</t>
        </is>
      </c>
      <c r="B184" s="69" t="inlineStr">
        <is>
          <t>İST. YOLU</t>
        </is>
      </c>
      <c r="C184" s="69" t="inlineStr">
        <is>
          <t>KIRTASİYE</t>
        </is>
      </c>
      <c r="D184" s="69" t="inlineStr">
        <is>
          <t>SATIŞ DANIŞMANI</t>
        </is>
      </c>
      <c r="E184" s="69" t="inlineStr">
        <is>
          <t>SEZONLUK</t>
        </is>
      </c>
      <c r="F184" s="69" t="inlineStr">
        <is>
          <t>12.08.2026</t>
        </is>
      </c>
      <c r="G184" s="69" t="inlineStr"/>
      <c r="H184" s="70" t="inlineStr"/>
      <c r="I184" s="70" t="inlineStr">
        <is>
          <t>✓</t>
        </is>
      </c>
      <c r="J184" s="71" t="n">
        <v>0.05205479452054795</v>
      </c>
    </row>
    <row r="185">
      <c r="A185" s="69" t="inlineStr">
        <is>
          <t>MEH. EMR. KAR.</t>
        </is>
      </c>
      <c r="B185" s="69" t="inlineStr">
        <is>
          <t>İST. YOLU</t>
        </is>
      </c>
      <c r="C185" s="69" t="inlineStr">
        <is>
          <t>KIRTASİYE</t>
        </is>
      </c>
      <c r="D185" s="69" t="inlineStr">
        <is>
          <t>SATIŞ DANIŞMANI</t>
        </is>
      </c>
      <c r="E185" s="69" t="inlineStr">
        <is>
          <t>SEZONLUK</t>
        </is>
      </c>
      <c r="F185" s="69" t="inlineStr">
        <is>
          <t>12.08.2026</t>
        </is>
      </c>
      <c r="G185" s="69" t="inlineStr"/>
      <c r="H185" s="70" t="inlineStr"/>
      <c r="I185" s="70" t="inlineStr">
        <is>
          <t>✓</t>
        </is>
      </c>
      <c r="J185" s="71" t="n">
        <v>0.05205479452054795</v>
      </c>
    </row>
    <row r="186">
      <c r="A186" s="69" t="inlineStr">
        <is>
          <t>EME. ŞAH.</t>
        </is>
      </c>
      <c r="B186" s="69" t="inlineStr">
        <is>
          <t>İST. YOLU</t>
        </is>
      </c>
      <c r="C186" s="69" t="inlineStr">
        <is>
          <t>KIRTASİYE</t>
        </is>
      </c>
      <c r="D186" s="69" t="inlineStr">
        <is>
          <t>SATIŞ DANIŞMANI</t>
        </is>
      </c>
      <c r="E186" s="69" t="inlineStr">
        <is>
          <t>SEZONLUK</t>
        </is>
      </c>
      <c r="F186" s="69" t="inlineStr">
        <is>
          <t>17.08.2026</t>
        </is>
      </c>
      <c r="G186" s="69" t="inlineStr"/>
      <c r="H186" s="70" t="inlineStr"/>
      <c r="I186" s="70" t="inlineStr">
        <is>
          <t>✓</t>
        </is>
      </c>
      <c r="J186" s="71" t="n">
        <v>0.03835616438356165</v>
      </c>
    </row>
    <row r="187">
      <c r="A187" s="69" t="inlineStr">
        <is>
          <t>ALE. GÖÇ.</t>
        </is>
      </c>
      <c r="B187" s="69" t="inlineStr">
        <is>
          <t>İST. YOLU</t>
        </is>
      </c>
      <c r="C187" s="69" t="inlineStr">
        <is>
          <t>KIRTASİYE</t>
        </is>
      </c>
      <c r="D187" s="69" t="inlineStr">
        <is>
          <t>SATIŞ DANIŞMANI</t>
        </is>
      </c>
      <c r="E187" s="69" t="inlineStr">
        <is>
          <t>SEZONLUK</t>
        </is>
      </c>
      <c r="F187" s="69" t="inlineStr">
        <is>
          <t>18.08.2026</t>
        </is>
      </c>
      <c r="G187" s="69" t="inlineStr"/>
      <c r="H187" s="70" t="inlineStr"/>
      <c r="I187" s="70" t="inlineStr">
        <is>
          <t>✓</t>
        </is>
      </c>
      <c r="J187" s="71" t="n">
        <v>0.03561643835616438</v>
      </c>
    </row>
    <row r="188">
      <c r="A188" s="69" t="inlineStr">
        <is>
          <t>HAM. SAR.</t>
        </is>
      </c>
      <c r="B188" s="69" t="inlineStr">
        <is>
          <t>İST. YOLU</t>
        </is>
      </c>
      <c r="C188" s="69" t="inlineStr">
        <is>
          <t>KIRTASİYE</t>
        </is>
      </c>
      <c r="D188" s="69" t="inlineStr">
        <is>
          <t>SATIŞ DANIŞMANI</t>
        </is>
      </c>
      <c r="E188" s="69" t="inlineStr">
        <is>
          <t>SEZONLUK</t>
        </is>
      </c>
      <c r="F188" s="69" t="inlineStr">
        <is>
          <t>22.08.2026</t>
        </is>
      </c>
      <c r="G188" s="69" t="inlineStr"/>
      <c r="H188" s="70" t="inlineStr"/>
      <c r="I188" s="70" t="inlineStr">
        <is>
          <t>✓</t>
        </is>
      </c>
      <c r="J188" s="71" t="n">
        <v>0.02465753424657534</v>
      </c>
    </row>
    <row r="189">
      <c r="A189" s="69" t="inlineStr">
        <is>
          <t>ŞEY. ŞEN.</t>
        </is>
      </c>
      <c r="B189" s="69" t="inlineStr">
        <is>
          <t>İST. YOLU</t>
        </is>
      </c>
      <c r="C189" s="69" t="inlineStr">
        <is>
          <t>KIYAFET</t>
        </is>
      </c>
      <c r="D189" s="69" t="inlineStr">
        <is>
          <t>SATIŞ DANIŞMANI</t>
        </is>
      </c>
      <c r="E189" s="69" t="inlineStr">
        <is>
          <t>SEZONLUK</t>
        </is>
      </c>
      <c r="F189" s="69" t="inlineStr">
        <is>
          <t>13.08.2025</t>
        </is>
      </c>
      <c r="G189" s="69" t="inlineStr">
        <is>
          <t>14.09.2025</t>
        </is>
      </c>
      <c r="H189" s="70" t="inlineStr">
        <is>
          <t>✓</t>
        </is>
      </c>
      <c r="I189" s="70" t="inlineStr"/>
      <c r="J189" s="71" t="n">
        <v>0.08767123287671233</v>
      </c>
    </row>
    <row r="190">
      <c r="A190" s="69" t="inlineStr">
        <is>
          <t>ZEY. ÜZE.</t>
        </is>
      </c>
      <c r="B190" s="69" t="inlineStr">
        <is>
          <t>İST. YOLU</t>
        </is>
      </c>
      <c r="C190" s="69" t="inlineStr">
        <is>
          <t>KIYAFET</t>
        </is>
      </c>
      <c r="D190" s="69" t="inlineStr">
        <is>
          <t>SATIŞ DANIŞMANI</t>
        </is>
      </c>
      <c r="E190" s="69" t="inlineStr">
        <is>
          <t>SEZONLUK</t>
        </is>
      </c>
      <c r="F190" s="69" t="inlineStr">
        <is>
          <t>15.08.2025</t>
        </is>
      </c>
      <c r="G190" s="69" t="inlineStr">
        <is>
          <t>28.09.2025</t>
        </is>
      </c>
      <c r="H190" s="70" t="inlineStr">
        <is>
          <t>✓</t>
        </is>
      </c>
      <c r="I190" s="70" t="inlineStr"/>
      <c r="J190" s="71" t="n">
        <v>0.1205479452054795</v>
      </c>
    </row>
    <row r="191">
      <c r="A191" s="69" t="inlineStr">
        <is>
          <t>SED. BAY.</t>
        </is>
      </c>
      <c r="B191" s="69" t="inlineStr">
        <is>
          <t>İST. YOLU</t>
        </is>
      </c>
      <c r="C191" s="69" t="inlineStr">
        <is>
          <t>KIYAFET</t>
        </is>
      </c>
      <c r="D191" s="69" t="inlineStr">
        <is>
          <t>SATIŞ DANIŞMANI</t>
        </is>
      </c>
      <c r="E191" s="69" t="inlineStr">
        <is>
          <t>SEZONLUK</t>
        </is>
      </c>
      <c r="F191" s="69" t="inlineStr">
        <is>
          <t>26.08.2025</t>
        </is>
      </c>
      <c r="G191" s="69" t="inlineStr">
        <is>
          <t>16.09.2025</t>
        </is>
      </c>
      <c r="H191" s="70" t="inlineStr">
        <is>
          <t>✓</t>
        </is>
      </c>
      <c r="I191" s="70" t="inlineStr"/>
      <c r="J191" s="71" t="n">
        <v>0.05753424657534247</v>
      </c>
    </row>
    <row r="192">
      <c r="A192" s="69" t="inlineStr">
        <is>
          <t>ARD. GEN.</t>
        </is>
      </c>
      <c r="B192" s="69" t="inlineStr">
        <is>
          <t>İST. YOLU</t>
        </is>
      </c>
      <c r="C192" s="69" t="inlineStr">
        <is>
          <t>KIYAFET</t>
        </is>
      </c>
      <c r="D192" s="69" t="inlineStr">
        <is>
          <t>SATIŞ DANIŞMANI</t>
        </is>
      </c>
      <c r="E192" s="69" t="inlineStr">
        <is>
          <t>SEZONLUK</t>
        </is>
      </c>
      <c r="F192" s="69" t="inlineStr">
        <is>
          <t>03.08.2026</t>
        </is>
      </c>
      <c r="G192" s="69" t="inlineStr"/>
      <c r="H192" s="70" t="inlineStr"/>
      <c r="I192" s="70" t="inlineStr">
        <is>
          <t>✓</t>
        </is>
      </c>
      <c r="J192" s="71" t="n">
        <v>0.07671232876712329</v>
      </c>
    </row>
    <row r="193">
      <c r="A193" s="69" t="inlineStr">
        <is>
          <t>AYŞ. ÇAY.</t>
        </is>
      </c>
      <c r="B193" s="69" t="inlineStr">
        <is>
          <t>İST. YOLU</t>
        </is>
      </c>
      <c r="C193" s="69" t="inlineStr">
        <is>
          <t>KIYAFET</t>
        </is>
      </c>
      <c r="D193" s="69" t="inlineStr">
        <is>
          <t>SATIŞ DANIŞMANI</t>
        </is>
      </c>
      <c r="E193" s="69" t="inlineStr">
        <is>
          <t>SEZONLUK</t>
        </is>
      </c>
      <c r="F193" s="69" t="inlineStr">
        <is>
          <t>11.08.2026</t>
        </is>
      </c>
      <c r="G193" s="69" t="inlineStr"/>
      <c r="H193" s="70" t="inlineStr"/>
      <c r="I193" s="70" t="inlineStr">
        <is>
          <t>✓</t>
        </is>
      </c>
      <c r="J193" s="71" t="n">
        <v>0.0547945205479452</v>
      </c>
    </row>
    <row r="194">
      <c r="A194" s="69" t="inlineStr">
        <is>
          <t>SÜM. ŞER. GÜN.</t>
        </is>
      </c>
      <c r="B194" s="69" t="inlineStr">
        <is>
          <t>İST. YOLU</t>
        </is>
      </c>
      <c r="C194" s="69" t="inlineStr">
        <is>
          <t>KIYAFET</t>
        </is>
      </c>
      <c r="D194" s="69" t="inlineStr">
        <is>
          <t>SATIŞ DANIŞMANI</t>
        </is>
      </c>
      <c r="E194" s="69" t="inlineStr">
        <is>
          <t>SEZONLUK</t>
        </is>
      </c>
      <c r="F194" s="69" t="inlineStr">
        <is>
          <t>14.08.2026</t>
        </is>
      </c>
      <c r="G194" s="69" t="inlineStr"/>
      <c r="H194" s="70" t="inlineStr"/>
      <c r="I194" s="70" t="inlineStr">
        <is>
          <t>✓</t>
        </is>
      </c>
      <c r="J194" s="71" t="n">
        <v>0.04657534246575343</v>
      </c>
    </row>
    <row r="195">
      <c r="A195" s="69" t="inlineStr">
        <is>
          <t>EMİ. ZEY. ÖRE.</t>
        </is>
      </c>
      <c r="B195" s="69" t="inlineStr">
        <is>
          <t>İST. YOLU</t>
        </is>
      </c>
      <c r="C195" s="69" t="inlineStr">
        <is>
          <t>KIYAFET</t>
        </is>
      </c>
      <c r="D195" s="69" t="inlineStr">
        <is>
          <t>SATIŞ DANIŞMANI</t>
        </is>
      </c>
      <c r="E195" s="69" t="inlineStr">
        <is>
          <t>SEZONLUK</t>
        </is>
      </c>
      <c r="F195" s="69" t="inlineStr">
        <is>
          <t>19.08.2026</t>
        </is>
      </c>
      <c r="G195" s="69" t="inlineStr"/>
      <c r="H195" s="70" t="inlineStr"/>
      <c r="I195" s="70" t="inlineStr">
        <is>
          <t>✓</t>
        </is>
      </c>
      <c r="J195" s="71" t="n">
        <v>0.03287671232876712</v>
      </c>
    </row>
    <row r="196">
      <c r="A196" s="16" t="inlineStr">
        <is>
          <t>MEL. PEN.</t>
        </is>
      </c>
      <c r="B196" s="16" t="inlineStr">
        <is>
          <t>İST. YOLU</t>
        </is>
      </c>
      <c r="C196" s="16" t="inlineStr">
        <is>
          <t>KÜLTÜR</t>
        </is>
      </c>
      <c r="D196" s="16" t="inlineStr">
        <is>
          <t>REYON ŞEFİ</t>
        </is>
      </c>
      <c r="E196" s="16" t="inlineStr">
        <is>
          <t>KADRO</t>
        </is>
      </c>
      <c r="F196" s="16" t="inlineStr">
        <is>
          <t>12.05.2023</t>
        </is>
      </c>
      <c r="G196" s="16" t="inlineStr"/>
      <c r="H196" s="67" t="inlineStr">
        <is>
          <t>✓</t>
        </is>
      </c>
      <c r="I196" s="67" t="inlineStr">
        <is>
          <t>✓</t>
        </is>
      </c>
      <c r="J196" s="68" t="n">
        <v>3.306849315068493</v>
      </c>
    </row>
    <row r="197">
      <c r="A197" s="16" t="inlineStr">
        <is>
          <t>NUR PAR.</t>
        </is>
      </c>
      <c r="B197" s="16" t="inlineStr">
        <is>
          <t>İST. YOLU</t>
        </is>
      </c>
      <c r="C197" s="16" t="inlineStr">
        <is>
          <t>KÜLTÜR</t>
        </is>
      </c>
      <c r="D197" s="16" t="inlineStr">
        <is>
          <t>SATIŞ DANIŞMANI</t>
        </is>
      </c>
      <c r="E197" s="16" t="inlineStr">
        <is>
          <t>KADRO</t>
        </is>
      </c>
      <c r="F197" s="16" t="inlineStr">
        <is>
          <t>23.10.2023</t>
        </is>
      </c>
      <c r="G197" s="16" t="inlineStr"/>
      <c r="H197" s="67" t="inlineStr">
        <is>
          <t>✓</t>
        </is>
      </c>
      <c r="I197" s="67" t="inlineStr">
        <is>
          <t>✓</t>
        </is>
      </c>
      <c r="J197" s="68" t="n">
        <v>2.857534246575343</v>
      </c>
    </row>
    <row r="198">
      <c r="A198" s="16" t="inlineStr">
        <is>
          <t>ÖME. KER. KUR.</t>
        </is>
      </c>
      <c r="B198" s="16" t="inlineStr">
        <is>
          <t>İST. YOLU</t>
        </is>
      </c>
      <c r="C198" s="16" t="inlineStr">
        <is>
          <t>KÜLTÜR</t>
        </is>
      </c>
      <c r="D198" s="16" t="inlineStr">
        <is>
          <t>SATIŞ DANIŞMANI</t>
        </is>
      </c>
      <c r="E198" s="16" t="inlineStr">
        <is>
          <t>KADRO</t>
        </is>
      </c>
      <c r="F198" s="16" t="inlineStr">
        <is>
          <t>02.08.2025</t>
        </is>
      </c>
      <c r="G198" s="16" t="inlineStr">
        <is>
          <t>30.11.2025</t>
        </is>
      </c>
      <c r="H198" s="67" t="inlineStr">
        <is>
          <t>✓</t>
        </is>
      </c>
      <c r="I198" s="67" t="inlineStr"/>
      <c r="J198" s="68" t="n">
        <v>0.3287671232876712</v>
      </c>
    </row>
    <row r="199">
      <c r="A199" s="16" t="inlineStr">
        <is>
          <t>MER. GÖK.</t>
        </is>
      </c>
      <c r="B199" s="16" t="inlineStr">
        <is>
          <t>İST. YOLU</t>
        </is>
      </c>
      <c r="C199" s="16" t="inlineStr">
        <is>
          <t>KÜLTÜR</t>
        </is>
      </c>
      <c r="D199" s="16" t="inlineStr">
        <is>
          <t>SATIŞ DANIŞMANI</t>
        </is>
      </c>
      <c r="E199" s="16" t="inlineStr">
        <is>
          <t>KADRO</t>
        </is>
      </c>
      <c r="F199" s="16" t="inlineStr">
        <is>
          <t>01.10.2025</t>
        </is>
      </c>
      <c r="G199" s="16" t="inlineStr"/>
      <c r="H199" s="67" t="inlineStr"/>
      <c r="I199" s="67" t="inlineStr">
        <is>
          <t>✓</t>
        </is>
      </c>
      <c r="J199" s="68" t="n">
        <v>0.9150684931506849</v>
      </c>
    </row>
    <row r="200">
      <c r="A200" s="16" t="inlineStr">
        <is>
          <t>EBR. DED.</t>
        </is>
      </c>
      <c r="B200" s="16" t="inlineStr">
        <is>
          <t>İST. YOLU</t>
        </is>
      </c>
      <c r="C200" s="16" t="inlineStr">
        <is>
          <t>KÜLTÜR</t>
        </is>
      </c>
      <c r="D200" s="16" t="inlineStr">
        <is>
          <t>SATIŞ DANIŞMANI</t>
        </is>
      </c>
      <c r="E200" s="16" t="inlineStr">
        <is>
          <t>KADRO</t>
        </is>
      </c>
      <c r="F200" s="16" t="inlineStr">
        <is>
          <t>13.02.2026</t>
        </is>
      </c>
      <c r="G200" s="16" t="inlineStr"/>
      <c r="H200" s="67" t="inlineStr"/>
      <c r="I200" s="67" t="inlineStr">
        <is>
          <t>✓</t>
        </is>
      </c>
      <c r="J200" s="68" t="n">
        <v>0.5452054794520548</v>
      </c>
    </row>
    <row r="201">
      <c r="A201" s="69" t="inlineStr">
        <is>
          <t>ARD. CAN</t>
        </is>
      </c>
      <c r="B201" s="69" t="inlineStr">
        <is>
          <t>İST. YOLU</t>
        </is>
      </c>
      <c r="C201" s="69" t="inlineStr">
        <is>
          <t>KÜLTÜR</t>
        </is>
      </c>
      <c r="D201" s="69" t="inlineStr">
        <is>
          <t>SATIŞ DANIŞMANI</t>
        </is>
      </c>
      <c r="E201" s="69" t="inlineStr">
        <is>
          <t>SEZONLUK</t>
        </is>
      </c>
      <c r="F201" s="69" t="inlineStr">
        <is>
          <t>13.08.2026</t>
        </is>
      </c>
      <c r="G201" s="69" t="inlineStr"/>
      <c r="H201" s="70" t="inlineStr"/>
      <c r="I201" s="70" t="inlineStr">
        <is>
          <t>✓</t>
        </is>
      </c>
      <c r="J201" s="71" t="n">
        <v>0.04931506849315068</v>
      </c>
    </row>
    <row r="202">
      <c r="A202" s="16" t="inlineStr">
        <is>
          <t>ERK. GÜD.</t>
        </is>
      </c>
      <c r="B202" s="16" t="inlineStr">
        <is>
          <t>İST. YOLU</t>
        </is>
      </c>
      <c r="C202" s="16" t="inlineStr">
        <is>
          <t>MAĞAZA</t>
        </is>
      </c>
      <c r="D202" s="16" t="inlineStr">
        <is>
          <t>MAĞAZA MÜDÜRÜ</t>
        </is>
      </c>
      <c r="E202" s="16" t="inlineStr">
        <is>
          <t>KADRO</t>
        </is>
      </c>
      <c r="F202" s="16" t="inlineStr">
        <is>
          <t>29.03.2023</t>
        </is>
      </c>
      <c r="G202" s="16" t="inlineStr"/>
      <c r="H202" s="67" t="inlineStr">
        <is>
          <t>✓</t>
        </is>
      </c>
      <c r="I202" s="67" t="inlineStr">
        <is>
          <t>✓</t>
        </is>
      </c>
      <c r="J202" s="68" t="n">
        <v>3.427397260273973</v>
      </c>
    </row>
    <row r="203">
      <c r="A203" s="16" t="inlineStr">
        <is>
          <t>ERE. BOR.</t>
        </is>
      </c>
      <c r="B203" s="16" t="inlineStr">
        <is>
          <t>İST. YOLU</t>
        </is>
      </c>
      <c r="C203" s="16" t="inlineStr">
        <is>
          <t>MAĞAZA</t>
        </is>
      </c>
      <c r="D203" s="16" t="inlineStr">
        <is>
          <t>MAĞAZA MÜDÜR YRD.</t>
        </is>
      </c>
      <c r="E203" s="16" t="inlineStr">
        <is>
          <t>KADRO</t>
        </is>
      </c>
      <c r="F203" s="16" t="inlineStr">
        <is>
          <t>26.06.2023</t>
        </is>
      </c>
      <c r="G203" s="16" t="inlineStr"/>
      <c r="H203" s="67" t="inlineStr">
        <is>
          <t>✓</t>
        </is>
      </c>
      <c r="I203" s="67" t="inlineStr">
        <is>
          <t>✓</t>
        </is>
      </c>
      <c r="J203" s="68" t="n">
        <v>3.183561643835616</v>
      </c>
    </row>
    <row r="204">
      <c r="A204" s="16" t="inlineStr">
        <is>
          <t>ÖME. YIL.</t>
        </is>
      </c>
      <c r="B204" s="16" t="inlineStr">
        <is>
          <t>İST. YOLU</t>
        </is>
      </c>
      <c r="C204" s="16" t="inlineStr">
        <is>
          <t>MAL KABUL</t>
        </is>
      </c>
      <c r="D204" s="16" t="inlineStr">
        <is>
          <t>MAL KABUL PERSONELİ</t>
        </is>
      </c>
      <c r="E204" s="16" t="inlineStr">
        <is>
          <t>KADRO</t>
        </is>
      </c>
      <c r="F204" s="16" t="inlineStr">
        <is>
          <t>20.05.2025</t>
        </is>
      </c>
      <c r="G204" s="16" t="inlineStr"/>
      <c r="H204" s="67" t="inlineStr">
        <is>
          <t>✓</t>
        </is>
      </c>
      <c r="I204" s="67" t="inlineStr">
        <is>
          <t>✓</t>
        </is>
      </c>
      <c r="J204" s="68" t="n">
        <v>1.282191780821918</v>
      </c>
    </row>
    <row r="205">
      <c r="A205" s="16" t="inlineStr">
        <is>
          <t>İSK. KAN.</t>
        </is>
      </c>
      <c r="B205" s="16" t="inlineStr">
        <is>
          <t>İST. YOLU</t>
        </is>
      </c>
      <c r="C205" s="16" t="inlineStr">
        <is>
          <t>MAL KABUL</t>
        </is>
      </c>
      <c r="D205" s="16" t="inlineStr">
        <is>
          <t>MAL KABUL PERSONELİ</t>
        </is>
      </c>
      <c r="E205" s="16" t="inlineStr">
        <is>
          <t>KADRO</t>
        </is>
      </c>
      <c r="F205" s="16" t="inlineStr">
        <is>
          <t>16.12.2025</t>
        </is>
      </c>
      <c r="G205" s="16" t="inlineStr"/>
      <c r="H205" s="67" t="inlineStr"/>
      <c r="I205" s="67" t="inlineStr">
        <is>
          <t>✓</t>
        </is>
      </c>
      <c r="J205" s="68" t="n">
        <v>0.7068493150684931</v>
      </c>
    </row>
    <row r="206">
      <c r="A206" s="16" t="inlineStr">
        <is>
          <t>AYŞ. KAR.</t>
        </is>
      </c>
      <c r="B206" s="16" t="inlineStr">
        <is>
          <t>İST. YOLU</t>
        </is>
      </c>
      <c r="C206" s="16" t="inlineStr">
        <is>
          <t>OYUNCAK</t>
        </is>
      </c>
      <c r="D206" s="16" t="inlineStr">
        <is>
          <t>REYON ŞEFİ</t>
        </is>
      </c>
      <c r="E206" s="16" t="inlineStr">
        <is>
          <t>KADRO</t>
        </is>
      </c>
      <c r="F206" s="16" t="inlineStr">
        <is>
          <t>13.03.2025</t>
        </is>
      </c>
      <c r="G206" s="16" t="inlineStr"/>
      <c r="H206" s="67" t="inlineStr">
        <is>
          <t>✓</t>
        </is>
      </c>
      <c r="I206" s="67" t="inlineStr">
        <is>
          <t>✓</t>
        </is>
      </c>
      <c r="J206" s="68" t="n">
        <v>1.468493150684931</v>
      </c>
    </row>
    <row r="207">
      <c r="A207" s="16" t="inlineStr">
        <is>
          <t>İSL. İÇİ.</t>
        </is>
      </c>
      <c r="B207" s="16" t="inlineStr">
        <is>
          <t>İST. YOLU</t>
        </is>
      </c>
      <c r="C207" s="16" t="inlineStr">
        <is>
          <t>OYUNCAK</t>
        </is>
      </c>
      <c r="D207" s="16" t="inlineStr">
        <is>
          <t>SATIŞ DANIŞMANI</t>
        </is>
      </c>
      <c r="E207" s="16" t="inlineStr">
        <is>
          <t>KADRO</t>
        </is>
      </c>
      <c r="F207" s="16" t="inlineStr">
        <is>
          <t>10.07.2025</t>
        </is>
      </c>
      <c r="G207" s="16" t="inlineStr">
        <is>
          <t>09.11.2025</t>
        </is>
      </c>
      <c r="H207" s="67" t="inlineStr">
        <is>
          <t>✓</t>
        </is>
      </c>
      <c r="I207" s="67" t="inlineStr"/>
      <c r="J207" s="68" t="n">
        <v>0.3342465753424658</v>
      </c>
    </row>
    <row r="208">
      <c r="A208" s="16" t="inlineStr">
        <is>
          <t>YİĞ. AYD.</t>
        </is>
      </c>
      <c r="B208" s="16" t="inlineStr">
        <is>
          <t>İST. YOLU</t>
        </is>
      </c>
      <c r="C208" s="16" t="inlineStr">
        <is>
          <t>OYUNCAK</t>
        </is>
      </c>
      <c r="D208" s="16" t="inlineStr">
        <is>
          <t>SATIŞ DANIŞMANI</t>
        </is>
      </c>
      <c r="E208" s="16" t="inlineStr">
        <is>
          <t>KADRO</t>
        </is>
      </c>
      <c r="F208" s="16" t="inlineStr">
        <is>
          <t>13.01.2026</t>
        </is>
      </c>
      <c r="G208" s="16" t="inlineStr"/>
      <c r="H208" s="67" t="inlineStr"/>
      <c r="I208" s="67" t="inlineStr">
        <is>
          <t>✓</t>
        </is>
      </c>
      <c r="J208" s="68" t="n">
        <v>0.6301369863013698</v>
      </c>
    </row>
    <row r="209">
      <c r="A209" s="16" t="inlineStr">
        <is>
          <t>MET. ÇAM.</t>
        </is>
      </c>
      <c r="B209" s="16" t="inlineStr">
        <is>
          <t>İST. YOLU</t>
        </is>
      </c>
      <c r="C209" s="16" t="inlineStr">
        <is>
          <t>OYUNCAK</t>
        </is>
      </c>
      <c r="D209" s="16" t="inlineStr">
        <is>
          <t>SATIŞ DANIŞMANI</t>
        </is>
      </c>
      <c r="E209" s="16" t="inlineStr">
        <is>
          <t>KADRO</t>
        </is>
      </c>
      <c r="F209" s="16" t="inlineStr">
        <is>
          <t>28.03.2026</t>
        </is>
      </c>
      <c r="G209" s="16" t="inlineStr"/>
      <c r="H209" s="67" t="inlineStr"/>
      <c r="I209" s="67" t="inlineStr">
        <is>
          <t>✓</t>
        </is>
      </c>
      <c r="J209" s="68" t="n">
        <v>0.4273972602739726</v>
      </c>
    </row>
    <row r="210">
      <c r="A210" s="16" t="inlineStr">
        <is>
          <t>HÜS. ÖZC.</t>
        </is>
      </c>
      <c r="B210" s="16" t="inlineStr">
        <is>
          <t>İST. YOLU</t>
        </is>
      </c>
      <c r="C210" s="16" t="inlineStr">
        <is>
          <t>YARDIMCI KİTAP</t>
        </is>
      </c>
      <c r="D210" s="16" t="inlineStr">
        <is>
          <t>REYON ŞEFİ</t>
        </is>
      </c>
      <c r="E210" s="16" t="inlineStr">
        <is>
          <t>KADRO</t>
        </is>
      </c>
      <c r="F210" s="16" t="inlineStr">
        <is>
          <t>14.05.2025</t>
        </is>
      </c>
      <c r="G210" s="16" t="inlineStr"/>
      <c r="H210" s="67" t="inlineStr">
        <is>
          <t>✓</t>
        </is>
      </c>
      <c r="I210" s="67" t="inlineStr">
        <is>
          <t>✓</t>
        </is>
      </c>
      <c r="J210" s="68" t="n">
        <v>1.298630136986301</v>
      </c>
    </row>
    <row r="211">
      <c r="A211" s="16" t="inlineStr">
        <is>
          <t>SEF. ELİ.</t>
        </is>
      </c>
      <c r="B211" s="16" t="inlineStr">
        <is>
          <t>İST. YOLU</t>
        </is>
      </c>
      <c r="C211" s="16" t="inlineStr">
        <is>
          <t>YARDIMCI KİTAP</t>
        </is>
      </c>
      <c r="D211" s="16" t="inlineStr">
        <is>
          <t>SATIŞ DANIŞMANI</t>
        </is>
      </c>
      <c r="E211" s="16" t="inlineStr">
        <is>
          <t>KADRO</t>
        </is>
      </c>
      <c r="F211" s="16" t="inlineStr">
        <is>
          <t>21.05.2025</t>
        </is>
      </c>
      <c r="G211" s="16" t="inlineStr"/>
      <c r="H211" s="67" t="inlineStr">
        <is>
          <t>✓</t>
        </is>
      </c>
      <c r="I211" s="67" t="inlineStr">
        <is>
          <t>✓</t>
        </is>
      </c>
      <c r="J211" s="68" t="n">
        <v>1.279452054794521</v>
      </c>
    </row>
    <row r="212">
      <c r="A212" s="69" t="inlineStr">
        <is>
          <t>BİL. YIL.</t>
        </is>
      </c>
      <c r="B212" s="69" t="inlineStr">
        <is>
          <t>İST. YOLU</t>
        </is>
      </c>
      <c r="C212" s="69" t="inlineStr">
        <is>
          <t>YARDIMCI KİTAP</t>
        </is>
      </c>
      <c r="D212" s="69" t="inlineStr">
        <is>
          <t>SATIŞ DANIŞMANI</t>
        </is>
      </c>
      <c r="E212" s="69" t="inlineStr">
        <is>
          <t>SEZONLUK</t>
        </is>
      </c>
      <c r="F212" s="69" t="inlineStr">
        <is>
          <t>01.08.2025</t>
        </is>
      </c>
      <c r="G212" s="69" t="inlineStr">
        <is>
          <t>09.09.2025</t>
        </is>
      </c>
      <c r="H212" s="70" t="inlineStr">
        <is>
          <t>✓</t>
        </is>
      </c>
      <c r="I212" s="70" t="inlineStr"/>
      <c r="J212" s="71" t="n">
        <v>0.1068493150684932</v>
      </c>
    </row>
    <row r="213">
      <c r="A213" s="16" t="inlineStr">
        <is>
          <t>BED. BAD.</t>
        </is>
      </c>
      <c r="B213" s="16" t="inlineStr">
        <is>
          <t>İST. YOLU</t>
        </is>
      </c>
      <c r="C213" s="16" t="inlineStr">
        <is>
          <t>YARDIMCI KİTAP</t>
        </is>
      </c>
      <c r="D213" s="16" t="inlineStr">
        <is>
          <t>SATIŞ DANIŞMANI</t>
        </is>
      </c>
      <c r="E213" s="16" t="inlineStr">
        <is>
          <t>KADRO</t>
        </is>
      </c>
      <c r="F213" s="16" t="inlineStr">
        <is>
          <t>01.08.2025</t>
        </is>
      </c>
      <c r="G213" s="16" t="inlineStr">
        <is>
          <t>09.09.2025</t>
        </is>
      </c>
      <c r="H213" s="67" t="inlineStr">
        <is>
          <t>✓</t>
        </is>
      </c>
      <c r="I213" s="67" t="inlineStr"/>
      <c r="J213" s="68" t="n">
        <v>0.1068493150684932</v>
      </c>
    </row>
    <row r="214">
      <c r="A214" s="69" t="inlineStr">
        <is>
          <t>MER. SAR.</t>
        </is>
      </c>
      <c r="B214" s="69" t="inlineStr">
        <is>
          <t>İST. YOLU</t>
        </is>
      </c>
      <c r="C214" s="69" t="inlineStr">
        <is>
          <t>YARDIMCI KİTAP</t>
        </is>
      </c>
      <c r="D214" s="69" t="inlineStr">
        <is>
          <t>SATIŞ DANIŞMANI</t>
        </is>
      </c>
      <c r="E214" s="69" t="inlineStr">
        <is>
          <t>SEZONLUK</t>
        </is>
      </c>
      <c r="F214" s="69" t="inlineStr">
        <is>
          <t>05.08.2025</t>
        </is>
      </c>
      <c r="G214" s="69" t="inlineStr">
        <is>
          <t>30.09.2025</t>
        </is>
      </c>
      <c r="H214" s="70" t="inlineStr">
        <is>
          <t>✓</t>
        </is>
      </c>
      <c r="I214" s="70" t="inlineStr"/>
      <c r="J214" s="71" t="n">
        <v>0.1534246575342466</v>
      </c>
    </row>
    <row r="215">
      <c r="A215" s="69" t="inlineStr">
        <is>
          <t>MEL. UYS.</t>
        </is>
      </c>
      <c r="B215" s="69" t="inlineStr">
        <is>
          <t>İST. YOLU</t>
        </is>
      </c>
      <c r="C215" s="69" t="inlineStr">
        <is>
          <t>YARDIMCI KİTAP</t>
        </is>
      </c>
      <c r="D215" s="69" t="inlineStr">
        <is>
          <t>SATIŞ DANIŞMANI</t>
        </is>
      </c>
      <c r="E215" s="69" t="inlineStr">
        <is>
          <t>SEZONLUK</t>
        </is>
      </c>
      <c r="F215" s="69" t="inlineStr">
        <is>
          <t>12.08.2025</t>
        </is>
      </c>
      <c r="G215" s="69" t="inlineStr">
        <is>
          <t>31.05.2026</t>
        </is>
      </c>
      <c r="H215" s="70" t="inlineStr">
        <is>
          <t>✓</t>
        </is>
      </c>
      <c r="I215" s="70" t="inlineStr"/>
      <c r="J215" s="71" t="n">
        <v>0.8</v>
      </c>
    </row>
    <row r="216">
      <c r="A216" s="69" t="inlineStr">
        <is>
          <t>BAT. GÜN.</t>
        </is>
      </c>
      <c r="B216" s="69" t="inlineStr">
        <is>
          <t>İST. YOLU</t>
        </is>
      </c>
      <c r="C216" s="69" t="inlineStr">
        <is>
          <t>YARDIMCI KİTAP</t>
        </is>
      </c>
      <c r="D216" s="69" t="inlineStr">
        <is>
          <t>SATIŞ DANIŞMANI</t>
        </is>
      </c>
      <c r="E216" s="69" t="inlineStr">
        <is>
          <t>SEZONLUK</t>
        </is>
      </c>
      <c r="F216" s="69" t="inlineStr">
        <is>
          <t>15.08.2025</t>
        </is>
      </c>
      <c r="G216" s="69" t="inlineStr">
        <is>
          <t>30.09.2025</t>
        </is>
      </c>
      <c r="H216" s="70" t="inlineStr">
        <is>
          <t>✓</t>
        </is>
      </c>
      <c r="I216" s="70" t="inlineStr"/>
      <c r="J216" s="71" t="n">
        <v>0.126027397260274</v>
      </c>
    </row>
    <row r="217">
      <c r="A217" s="69" t="inlineStr">
        <is>
          <t>ALİ KAR.</t>
        </is>
      </c>
      <c r="B217" s="69" t="inlineStr">
        <is>
          <t>İST. YOLU</t>
        </is>
      </c>
      <c r="C217" s="69" t="inlineStr">
        <is>
          <t>YARDIMCI KİTAP</t>
        </is>
      </c>
      <c r="D217" s="69" t="inlineStr">
        <is>
          <t>SATIŞ DANIŞMANI</t>
        </is>
      </c>
      <c r="E217" s="69" t="inlineStr">
        <is>
          <t>SEZONLUK</t>
        </is>
      </c>
      <c r="F217" s="69" t="inlineStr">
        <is>
          <t>15.08.2025</t>
        </is>
      </c>
      <c r="G217" s="69" t="inlineStr">
        <is>
          <t>26.09.2025</t>
        </is>
      </c>
      <c r="H217" s="70" t="inlineStr">
        <is>
          <t>✓</t>
        </is>
      </c>
      <c r="I217" s="70" t="inlineStr"/>
      <c r="J217" s="71" t="n">
        <v>0.1150684931506849</v>
      </c>
    </row>
    <row r="218">
      <c r="A218" s="69" t="inlineStr">
        <is>
          <t>MUH. SAB. YIL.</t>
        </is>
      </c>
      <c r="B218" s="69" t="inlineStr">
        <is>
          <t>İST. YOLU</t>
        </is>
      </c>
      <c r="C218" s="69" t="inlineStr">
        <is>
          <t>YARDIMCI KİTAP</t>
        </is>
      </c>
      <c r="D218" s="69" t="inlineStr">
        <is>
          <t>SATIŞ DANIŞMANI</t>
        </is>
      </c>
      <c r="E218" s="69" t="inlineStr">
        <is>
          <t>SEZONLUK</t>
        </is>
      </c>
      <c r="F218" s="69" t="inlineStr">
        <is>
          <t>15.08.2025</t>
        </is>
      </c>
      <c r="G218" s="69" t="inlineStr">
        <is>
          <t>09.09.2025</t>
        </is>
      </c>
      <c r="H218" s="70" t="inlineStr">
        <is>
          <t>✓</t>
        </is>
      </c>
      <c r="I218" s="70" t="inlineStr"/>
      <c r="J218" s="71" t="n">
        <v>0.0684931506849315</v>
      </c>
    </row>
    <row r="219">
      <c r="A219" s="16" t="inlineStr">
        <is>
          <t>MUS. BİL.</t>
        </is>
      </c>
      <c r="B219" s="16" t="inlineStr">
        <is>
          <t>İST. YOLU</t>
        </is>
      </c>
      <c r="C219" s="16" t="inlineStr">
        <is>
          <t>YARDIMCI KİTAP</t>
        </is>
      </c>
      <c r="D219" s="16" t="inlineStr">
        <is>
          <t>SATIŞ DANIŞMANI</t>
        </is>
      </c>
      <c r="E219" s="16" t="inlineStr">
        <is>
          <t>KADRO</t>
        </is>
      </c>
      <c r="F219" s="16" t="inlineStr">
        <is>
          <t>06.09.2025</t>
        </is>
      </c>
      <c r="G219" s="16" t="inlineStr"/>
      <c r="H219" s="67" t="inlineStr"/>
      <c r="I219" s="67" t="inlineStr">
        <is>
          <t>✓</t>
        </is>
      </c>
      <c r="J219" s="68" t="n">
        <v>0.9835616438356164</v>
      </c>
    </row>
    <row r="220">
      <c r="A220" s="16" t="inlineStr">
        <is>
          <t>MEV. ATA.</t>
        </is>
      </c>
      <c r="B220" s="16" t="inlineStr">
        <is>
          <t>İST. YOLU</t>
        </is>
      </c>
      <c r="C220" s="16" t="inlineStr">
        <is>
          <t>YARDIMCI KİTAP</t>
        </is>
      </c>
      <c r="D220" s="16" t="inlineStr">
        <is>
          <t>SATIŞ DANIŞMANI</t>
        </is>
      </c>
      <c r="E220" s="16" t="inlineStr">
        <is>
          <t>KADRO</t>
        </is>
      </c>
      <c r="F220" s="16" t="inlineStr">
        <is>
          <t>03.06.2026</t>
        </is>
      </c>
      <c r="G220" s="16" t="inlineStr"/>
      <c r="H220" s="67" t="inlineStr"/>
      <c r="I220" s="67" t="inlineStr">
        <is>
          <t>✓</t>
        </is>
      </c>
      <c r="J220" s="68" t="n">
        <v>0.2438356164383562</v>
      </c>
    </row>
    <row r="221">
      <c r="A221" s="69" t="inlineStr">
        <is>
          <t>ALİ KAR.</t>
        </is>
      </c>
      <c r="B221" s="69" t="inlineStr">
        <is>
          <t>İST. YOLU</t>
        </is>
      </c>
      <c r="C221" s="69" t="inlineStr">
        <is>
          <t>YARDIMCI KİTAP</t>
        </is>
      </c>
      <c r="D221" s="69" t="inlineStr">
        <is>
          <t>SATIŞ DANIŞMANI</t>
        </is>
      </c>
      <c r="E221" s="69" t="inlineStr">
        <is>
          <t>SEZONLUK</t>
        </is>
      </c>
      <c r="F221" s="69" t="inlineStr">
        <is>
          <t>03.08.2026</t>
        </is>
      </c>
      <c r="G221" s="69" t="inlineStr"/>
      <c r="H221" s="70" t="inlineStr"/>
      <c r="I221" s="70" t="inlineStr">
        <is>
          <t>✓</t>
        </is>
      </c>
      <c r="J221" s="71" t="n">
        <v>0.07671232876712329</v>
      </c>
    </row>
    <row r="222">
      <c r="A222" s="69" t="inlineStr">
        <is>
          <t>ÖME. KER. KUR.</t>
        </is>
      </c>
      <c r="B222" s="69" t="inlineStr">
        <is>
          <t>İST. YOLU</t>
        </is>
      </c>
      <c r="C222" s="69" t="inlineStr">
        <is>
          <t>YARDIMCI KİTAP</t>
        </is>
      </c>
      <c r="D222" s="69" t="inlineStr">
        <is>
          <t>SATIŞ DANIŞMANI</t>
        </is>
      </c>
      <c r="E222" s="69" t="inlineStr">
        <is>
          <t>SEZONLUK</t>
        </is>
      </c>
      <c r="F222" s="69" t="inlineStr">
        <is>
          <t>07.08.2026</t>
        </is>
      </c>
      <c r="G222" s="69" t="inlineStr"/>
      <c r="H222" s="70" t="inlineStr"/>
      <c r="I222" s="70" t="inlineStr">
        <is>
          <t>✓</t>
        </is>
      </c>
      <c r="J222" s="71" t="n">
        <v>0.06575342465753424</v>
      </c>
    </row>
    <row r="223">
      <c r="A223" s="69" t="inlineStr">
        <is>
          <t>BER. AYD.</t>
        </is>
      </c>
      <c r="B223" s="69" t="inlineStr">
        <is>
          <t>İST. YOLU</t>
        </is>
      </c>
      <c r="C223" s="69" t="inlineStr">
        <is>
          <t>YARDIMCI KİTAP</t>
        </is>
      </c>
      <c r="D223" s="69" t="inlineStr">
        <is>
          <t>SATIŞ DANIŞMANI</t>
        </is>
      </c>
      <c r="E223" s="69" t="inlineStr">
        <is>
          <t>SEZONLUK</t>
        </is>
      </c>
      <c r="F223" s="69" t="inlineStr">
        <is>
          <t>11.08.2026</t>
        </is>
      </c>
      <c r="G223" s="69" t="inlineStr"/>
      <c r="H223" s="70" t="inlineStr"/>
      <c r="I223" s="70" t="inlineStr">
        <is>
          <t>✓</t>
        </is>
      </c>
      <c r="J223" s="71" t="n">
        <v>0.0547945205479452</v>
      </c>
    </row>
    <row r="224">
      <c r="A224" s="69" t="inlineStr">
        <is>
          <t>ENE. VAR.</t>
        </is>
      </c>
      <c r="B224" s="69" t="inlineStr">
        <is>
          <t>İST. YOLU</t>
        </is>
      </c>
      <c r="C224" s="69" t="inlineStr">
        <is>
          <t>YARDIMCI KİTAP</t>
        </is>
      </c>
      <c r="D224" s="69" t="inlineStr">
        <is>
          <t>SATIŞ DANIŞMANI</t>
        </is>
      </c>
      <c r="E224" s="69" t="inlineStr">
        <is>
          <t>SEZONLUK</t>
        </is>
      </c>
      <c r="F224" s="69" t="inlineStr">
        <is>
          <t>11.08.2026</t>
        </is>
      </c>
      <c r="G224" s="69" t="inlineStr"/>
      <c r="H224" s="70" t="inlineStr"/>
      <c r="I224" s="70" t="inlineStr">
        <is>
          <t>✓</t>
        </is>
      </c>
      <c r="J224" s="71" t="n">
        <v>0.0547945205479452</v>
      </c>
    </row>
    <row r="225">
      <c r="A225" s="69" t="inlineStr">
        <is>
          <t>BAT. GÜN.</t>
        </is>
      </c>
      <c r="B225" s="69" t="inlineStr">
        <is>
          <t>İST. YOLU</t>
        </is>
      </c>
      <c r="C225" s="69" t="inlineStr">
        <is>
          <t>YARDIMCI KİTAP</t>
        </is>
      </c>
      <c r="D225" s="69" t="inlineStr">
        <is>
          <t>SATIŞ DANIŞMANI</t>
        </is>
      </c>
      <c r="E225" s="69" t="inlineStr">
        <is>
          <t>SEZONLUK</t>
        </is>
      </c>
      <c r="F225" s="69" t="inlineStr">
        <is>
          <t>18.08.2026</t>
        </is>
      </c>
      <c r="G225" s="69" t="inlineStr"/>
      <c r="H225" s="70" t="inlineStr"/>
      <c r="I225" s="70" t="inlineStr">
        <is>
          <t>✓</t>
        </is>
      </c>
      <c r="J225" s="71" t="n">
        <v>0.03561643835616438</v>
      </c>
    </row>
    <row r="226">
      <c r="A226" s="69" t="inlineStr">
        <is>
          <t>SER. BOZ.</t>
        </is>
      </c>
      <c r="B226" s="69" t="inlineStr">
        <is>
          <t>İST. YOLU</t>
        </is>
      </c>
      <c r="C226" s="69" t="inlineStr">
        <is>
          <t>YARDIMCI KİTAP</t>
        </is>
      </c>
      <c r="D226" s="69" t="inlineStr">
        <is>
          <t>SATIŞ DANIŞMANI</t>
        </is>
      </c>
      <c r="E226" s="69" t="inlineStr">
        <is>
          <t>SEZONLUK</t>
        </is>
      </c>
      <c r="F226" s="69" t="inlineStr">
        <is>
          <t>18.08.2026</t>
        </is>
      </c>
      <c r="G226" s="69" t="inlineStr"/>
      <c r="H226" s="70" t="inlineStr"/>
      <c r="I226" s="70" t="inlineStr">
        <is>
          <t>✓</t>
        </is>
      </c>
      <c r="J226" s="71" t="n">
        <v>0.03561643835616438</v>
      </c>
    </row>
    <row r="227">
      <c r="A227" s="69" t="inlineStr">
        <is>
          <t>ARİ. AKT.</t>
        </is>
      </c>
      <c r="B227" s="69" t="inlineStr">
        <is>
          <t>İST. YOLU</t>
        </is>
      </c>
      <c r="C227" s="69" t="inlineStr">
        <is>
          <t>YARDIMCI KİTAP</t>
        </is>
      </c>
      <c r="D227" s="69" t="inlineStr">
        <is>
          <t>SATIŞ DANIŞMANI</t>
        </is>
      </c>
      <c r="E227" s="69" t="inlineStr">
        <is>
          <t>SEZONLUK</t>
        </is>
      </c>
      <c r="F227" s="69" t="inlineStr">
        <is>
          <t>20.08.2026</t>
        </is>
      </c>
      <c r="G227" s="69" t="inlineStr"/>
      <c r="H227" s="70" t="inlineStr"/>
      <c r="I227" s="70" t="inlineStr">
        <is>
          <t>✓</t>
        </is>
      </c>
      <c r="J227" s="71" t="n">
        <v>0.03013698630136986</v>
      </c>
    </row>
    <row r="228">
      <c r="A228" s="16" t="inlineStr">
        <is>
          <t>YUN. EMR. AKT.</t>
        </is>
      </c>
      <c r="B228" s="16" t="inlineStr">
        <is>
          <t>ÖZLÜCE</t>
        </is>
      </c>
      <c r="C228" s="16" t="inlineStr">
        <is>
          <t>AKADEMİ</t>
        </is>
      </c>
      <c r="D228" s="16" t="inlineStr">
        <is>
          <t>SATIŞ DANIŞMANI</t>
        </is>
      </c>
      <c r="E228" s="16" t="inlineStr">
        <is>
          <t>KADRO</t>
        </is>
      </c>
      <c r="F228" s="16" t="inlineStr">
        <is>
          <t>02.01.2024</t>
        </is>
      </c>
      <c r="G228" s="16" t="inlineStr">
        <is>
          <t>18.01.2026</t>
        </is>
      </c>
      <c r="H228" s="67" t="inlineStr">
        <is>
          <t>✓</t>
        </is>
      </c>
      <c r="I228" s="67" t="inlineStr"/>
      <c r="J228" s="68" t="n">
        <v>2.046575342465753</v>
      </c>
    </row>
    <row r="229">
      <c r="A229" s="69" t="inlineStr">
        <is>
          <t>ORH. ATA.</t>
        </is>
      </c>
      <c r="B229" s="69" t="inlineStr">
        <is>
          <t>ÖZLÜCE</t>
        </is>
      </c>
      <c r="C229" s="69" t="inlineStr">
        <is>
          <t>AKADEMİ</t>
        </is>
      </c>
      <c r="D229" s="69" t="inlineStr">
        <is>
          <t>SATIŞ DANIŞMANI</t>
        </is>
      </c>
      <c r="E229" s="69" t="inlineStr">
        <is>
          <t>SEZONLUK</t>
        </is>
      </c>
      <c r="F229" s="69" t="inlineStr">
        <is>
          <t>22.08.2025</t>
        </is>
      </c>
      <c r="G229" s="69" t="inlineStr">
        <is>
          <t>05.04.2026</t>
        </is>
      </c>
      <c r="H229" s="70" t="inlineStr">
        <is>
          <t>✓</t>
        </is>
      </c>
      <c r="I229" s="70" t="inlineStr"/>
      <c r="J229" s="71" t="n">
        <v>0.6191780821917808</v>
      </c>
    </row>
    <row r="230">
      <c r="A230" s="16" t="inlineStr">
        <is>
          <t>MER. KAH.</t>
        </is>
      </c>
      <c r="B230" s="16" t="inlineStr">
        <is>
          <t>ÖZLÜCE</t>
        </is>
      </c>
      <c r="C230" s="16" t="inlineStr">
        <is>
          <t>AKADEMİ</t>
        </is>
      </c>
      <c r="D230" s="16" t="inlineStr">
        <is>
          <t>SATIŞ DANIŞMANI</t>
        </is>
      </c>
      <c r="E230" s="16" t="inlineStr">
        <is>
          <t>KADRO</t>
        </is>
      </c>
      <c r="F230" s="16" t="inlineStr">
        <is>
          <t>25.04.2026</t>
        </is>
      </c>
      <c r="G230" s="16" t="inlineStr"/>
      <c r="H230" s="67" t="inlineStr"/>
      <c r="I230" s="67" t="inlineStr">
        <is>
          <t>✓</t>
        </is>
      </c>
      <c r="J230" s="68" t="n">
        <v>0.3506849315068493</v>
      </c>
    </row>
    <row r="231">
      <c r="A231" s="16" t="inlineStr">
        <is>
          <t>KEV. KAH.</t>
        </is>
      </c>
      <c r="B231" s="16" t="inlineStr">
        <is>
          <t>ÖZLÜCE</t>
        </is>
      </c>
      <c r="C231" s="16" t="inlineStr">
        <is>
          <t>ÇOCUK</t>
        </is>
      </c>
      <c r="D231" s="16" t="inlineStr">
        <is>
          <t>REYON ŞEFİ</t>
        </is>
      </c>
      <c r="E231" s="16" t="inlineStr">
        <is>
          <t>KADRO</t>
        </is>
      </c>
      <c r="F231" s="16" t="inlineStr">
        <is>
          <t>20.10.2021</t>
        </is>
      </c>
      <c r="G231" s="16" t="inlineStr"/>
      <c r="H231" s="67" t="inlineStr">
        <is>
          <t>✓</t>
        </is>
      </c>
      <c r="I231" s="67" t="inlineStr">
        <is>
          <t>✓</t>
        </is>
      </c>
      <c r="J231" s="68" t="n">
        <v>4.865753424657535</v>
      </c>
    </row>
    <row r="232">
      <c r="A232" s="16" t="inlineStr">
        <is>
          <t>ZEY. GÜN.</t>
        </is>
      </c>
      <c r="B232" s="16" t="inlineStr">
        <is>
          <t>ÖZLÜCE</t>
        </is>
      </c>
      <c r="C232" s="16" t="inlineStr">
        <is>
          <t>ÇOCUK</t>
        </is>
      </c>
      <c r="D232" s="16" t="inlineStr">
        <is>
          <t>SATIŞ DANIŞMANI</t>
        </is>
      </c>
      <c r="E232" s="16" t="inlineStr">
        <is>
          <t>KADRO</t>
        </is>
      </c>
      <c r="F232" s="16" t="inlineStr">
        <is>
          <t>23.11.2024</t>
        </is>
      </c>
      <c r="G232" s="16" t="inlineStr">
        <is>
          <t>05.11.2025</t>
        </is>
      </c>
      <c r="H232" s="67" t="inlineStr">
        <is>
          <t>✓</t>
        </is>
      </c>
      <c r="I232" s="67" t="inlineStr"/>
      <c r="J232" s="68" t="n">
        <v>0.9506849315068493</v>
      </c>
    </row>
    <row r="233">
      <c r="A233" s="16" t="inlineStr">
        <is>
          <t>ZEY. İÇE.</t>
        </is>
      </c>
      <c r="B233" s="16" t="inlineStr">
        <is>
          <t>ÖZLÜCE</t>
        </is>
      </c>
      <c r="C233" s="16" t="inlineStr">
        <is>
          <t>ÇOCUK</t>
        </is>
      </c>
      <c r="D233" s="16" t="inlineStr">
        <is>
          <t>SATIŞ DANIŞMANI</t>
        </is>
      </c>
      <c r="E233" s="16" t="inlineStr">
        <is>
          <t>KADRO</t>
        </is>
      </c>
      <c r="F233" s="16" t="inlineStr">
        <is>
          <t>15.04.2025</t>
        </is>
      </c>
      <c r="G233" s="16" t="inlineStr">
        <is>
          <t>30.06.2026</t>
        </is>
      </c>
      <c r="H233" s="67" t="inlineStr">
        <is>
          <t>✓</t>
        </is>
      </c>
      <c r="I233" s="67" t="inlineStr"/>
      <c r="J233" s="68" t="n">
        <v>1.208219178082192</v>
      </c>
    </row>
    <row r="234">
      <c r="A234" s="16" t="inlineStr">
        <is>
          <t>PER. GÜL.</t>
        </is>
      </c>
      <c r="B234" s="16" t="inlineStr">
        <is>
          <t>ÖZLÜCE</t>
        </is>
      </c>
      <c r="C234" s="16" t="inlineStr">
        <is>
          <t>ÇOCUK</t>
        </is>
      </c>
      <c r="D234" s="16" t="inlineStr">
        <is>
          <t>SATIŞ DANIŞMANI</t>
        </is>
      </c>
      <c r="E234" s="16" t="inlineStr">
        <is>
          <t>KADRO</t>
        </is>
      </c>
      <c r="F234" s="16" t="inlineStr">
        <is>
          <t>02.05.2025</t>
        </is>
      </c>
      <c r="G234" s="16" t="inlineStr">
        <is>
          <t>21.11.2025</t>
        </is>
      </c>
      <c r="H234" s="67" t="inlineStr">
        <is>
          <t>✓</t>
        </is>
      </c>
      <c r="I234" s="67" t="inlineStr"/>
      <c r="J234" s="68" t="n">
        <v>0.5561643835616439</v>
      </c>
    </row>
    <row r="235">
      <c r="A235" s="69" t="inlineStr">
        <is>
          <t>CER. YAŞ.</t>
        </is>
      </c>
      <c r="B235" s="69" t="inlineStr">
        <is>
          <t>ÖZLÜCE</t>
        </is>
      </c>
      <c r="C235" s="69" t="inlineStr">
        <is>
          <t>ÇOCUK</t>
        </is>
      </c>
      <c r="D235" s="69" t="inlineStr">
        <is>
          <t>SATIŞ DANIŞMANI</t>
        </is>
      </c>
      <c r="E235" s="69" t="inlineStr">
        <is>
          <t>SEZONLUK</t>
        </is>
      </c>
      <c r="F235" s="69" t="inlineStr">
        <is>
          <t>15.08.2025</t>
        </is>
      </c>
      <c r="G235" s="69" t="inlineStr">
        <is>
          <t>18.09.2025</t>
        </is>
      </c>
      <c r="H235" s="70" t="inlineStr">
        <is>
          <t>✓</t>
        </is>
      </c>
      <c r="I235" s="70" t="inlineStr"/>
      <c r="J235" s="71" t="n">
        <v>0.09315068493150686</v>
      </c>
    </row>
    <row r="236">
      <c r="A236" s="16" t="inlineStr">
        <is>
          <t>NİL. SIL. KUR.</t>
        </is>
      </c>
      <c r="B236" s="16" t="inlineStr">
        <is>
          <t>ÖZLÜCE</t>
        </is>
      </c>
      <c r="C236" s="16" t="inlineStr">
        <is>
          <t>ÇOCUK</t>
        </is>
      </c>
      <c r="D236" s="16" t="inlineStr">
        <is>
          <t>SATIŞ DANIŞMANI</t>
        </is>
      </c>
      <c r="E236" s="16" t="inlineStr">
        <is>
          <t>KADRO</t>
        </is>
      </c>
      <c r="F236" s="16" t="inlineStr">
        <is>
          <t>20.12.2025</t>
        </is>
      </c>
      <c r="G236" s="16" t="inlineStr"/>
      <c r="H236" s="67" t="inlineStr"/>
      <c r="I236" s="67" t="inlineStr">
        <is>
          <t>✓</t>
        </is>
      </c>
      <c r="J236" s="68" t="n">
        <v>0.6958904109589041</v>
      </c>
    </row>
    <row r="237">
      <c r="A237" s="16" t="inlineStr">
        <is>
          <t>ZEH. HAC.</t>
        </is>
      </c>
      <c r="B237" s="16" t="inlineStr">
        <is>
          <t>ÖZLÜCE</t>
        </is>
      </c>
      <c r="C237" s="16" t="inlineStr">
        <is>
          <t>ÇOCUK</t>
        </is>
      </c>
      <c r="D237" s="16" t="inlineStr">
        <is>
          <t>SATIŞ DANIŞMANI</t>
        </is>
      </c>
      <c r="E237" s="16" t="inlineStr">
        <is>
          <t>KADRO</t>
        </is>
      </c>
      <c r="F237" s="16" t="inlineStr">
        <is>
          <t>17.02.2026</t>
        </is>
      </c>
      <c r="G237" s="16" t="inlineStr"/>
      <c r="H237" s="67" t="inlineStr"/>
      <c r="I237" s="67" t="inlineStr">
        <is>
          <t>✓</t>
        </is>
      </c>
      <c r="J237" s="68" t="n">
        <v>0.5342465753424658</v>
      </c>
    </row>
    <row r="238">
      <c r="A238" s="16" t="inlineStr">
        <is>
          <t>ZEY. MER. AKS.</t>
        </is>
      </c>
      <c r="B238" s="16" t="inlineStr">
        <is>
          <t>ÖZLÜCE</t>
        </is>
      </c>
      <c r="C238" s="16" t="inlineStr">
        <is>
          <t>ÇOCUK</t>
        </is>
      </c>
      <c r="D238" s="16" t="inlineStr">
        <is>
          <t>SATIŞ DANIŞMANI</t>
        </is>
      </c>
      <c r="E238" s="16" t="inlineStr">
        <is>
          <t>KADRO</t>
        </is>
      </c>
      <c r="F238" s="16" t="inlineStr">
        <is>
          <t>12.05.2026</t>
        </is>
      </c>
      <c r="G238" s="16" t="inlineStr"/>
      <c r="H238" s="67" t="inlineStr"/>
      <c r="I238" s="67" t="inlineStr">
        <is>
          <t>✓</t>
        </is>
      </c>
      <c r="J238" s="68" t="n">
        <v>0.3041095890410959</v>
      </c>
    </row>
    <row r="239">
      <c r="A239" s="69" t="inlineStr">
        <is>
          <t>GÜL. EZG. AKI.</t>
        </is>
      </c>
      <c r="B239" s="69" t="inlineStr">
        <is>
          <t>ÖZLÜCE</t>
        </is>
      </c>
      <c r="C239" s="69" t="inlineStr">
        <is>
          <t>ÇOCUK</t>
        </is>
      </c>
      <c r="D239" s="69" t="inlineStr">
        <is>
          <t>SATIŞ DANIŞMANI</t>
        </is>
      </c>
      <c r="E239" s="69" t="inlineStr">
        <is>
          <t>SEZONLUK</t>
        </is>
      </c>
      <c r="F239" s="69" t="inlineStr">
        <is>
          <t>11.08.2026</t>
        </is>
      </c>
      <c r="G239" s="69" t="inlineStr"/>
      <c r="H239" s="70" t="inlineStr"/>
      <c r="I239" s="70" t="inlineStr">
        <is>
          <t>✓</t>
        </is>
      </c>
      <c r="J239" s="71" t="n">
        <v>0.0547945205479452</v>
      </c>
    </row>
    <row r="240">
      <c r="A240" s="69" t="inlineStr">
        <is>
          <t>BET. KAY.</t>
        </is>
      </c>
      <c r="B240" s="69" t="inlineStr">
        <is>
          <t>ÖZLÜCE</t>
        </is>
      </c>
      <c r="C240" s="69" t="inlineStr">
        <is>
          <t>ÇOCUK</t>
        </is>
      </c>
      <c r="D240" s="69" t="inlineStr">
        <is>
          <t>SATIŞ DANIŞMANI</t>
        </is>
      </c>
      <c r="E240" s="69" t="inlineStr">
        <is>
          <t>SEZONLUK</t>
        </is>
      </c>
      <c r="F240" s="69" t="inlineStr">
        <is>
          <t>18.08.2026</t>
        </is>
      </c>
      <c r="G240" s="69" t="inlineStr"/>
      <c r="H240" s="70" t="inlineStr"/>
      <c r="I240" s="70" t="inlineStr">
        <is>
          <t>✓</t>
        </is>
      </c>
      <c r="J240" s="71" t="n">
        <v>0.03561643835616438</v>
      </c>
    </row>
    <row r="241">
      <c r="A241" s="16" t="inlineStr">
        <is>
          <t>YÜC. ÇAK.</t>
        </is>
      </c>
      <c r="B241" s="16" t="inlineStr">
        <is>
          <t>ÖZLÜCE</t>
        </is>
      </c>
      <c r="C241" s="16" t="inlineStr">
        <is>
          <t>ETKİNLİK</t>
        </is>
      </c>
      <c r="D241" s="16" t="inlineStr">
        <is>
          <t>ETKİNLİK TAKIM LİDERİ</t>
        </is>
      </c>
      <c r="E241" s="16" t="inlineStr">
        <is>
          <t>KADRO</t>
        </is>
      </c>
      <c r="F241" s="16" t="inlineStr">
        <is>
          <t>19.12.2025</t>
        </is>
      </c>
      <c r="G241" s="16" t="inlineStr"/>
      <c r="H241" s="67" t="inlineStr"/>
      <c r="I241" s="67" t="inlineStr">
        <is>
          <t>✓</t>
        </is>
      </c>
      <c r="J241" s="68" t="n">
        <v>0.6986301369863014</v>
      </c>
    </row>
    <row r="242">
      <c r="A242" s="16" t="inlineStr">
        <is>
          <t>BAY. DAŞ.</t>
        </is>
      </c>
      <c r="B242" s="16" t="inlineStr">
        <is>
          <t>ÖZLÜCE</t>
        </is>
      </c>
      <c r="C242" s="16" t="inlineStr">
        <is>
          <t>İDARİ İŞLER</t>
        </is>
      </c>
      <c r="D242" s="16" t="inlineStr">
        <is>
          <t>BEKÇİ</t>
        </is>
      </c>
      <c r="E242" s="16" t="inlineStr">
        <is>
          <t>KADRO</t>
        </is>
      </c>
      <c r="F242" s="16" t="inlineStr">
        <is>
          <t>05.03.2020</t>
        </is>
      </c>
      <c r="G242" s="16" t="inlineStr"/>
      <c r="H242" s="67" t="inlineStr">
        <is>
          <t>✓</t>
        </is>
      </c>
      <c r="I242" s="67" t="inlineStr">
        <is>
          <t>✓</t>
        </is>
      </c>
      <c r="J242" s="68" t="n">
        <v>6.493150684931507</v>
      </c>
    </row>
    <row r="243">
      <c r="A243" s="16" t="inlineStr">
        <is>
          <t>SEY. KAR.</t>
        </is>
      </c>
      <c r="B243" s="16" t="inlineStr">
        <is>
          <t>ÖZLÜCE</t>
        </is>
      </c>
      <c r="C243" s="16" t="inlineStr">
        <is>
          <t>İDARİ İŞLER</t>
        </is>
      </c>
      <c r="D243" s="16" t="inlineStr">
        <is>
          <t>TEMİZLİK PERSONELİ</t>
        </is>
      </c>
      <c r="E243" s="16" t="inlineStr">
        <is>
          <t>KADRO</t>
        </is>
      </c>
      <c r="F243" s="16" t="inlineStr">
        <is>
          <t>14.09.2021</t>
        </is>
      </c>
      <c r="G243" s="16" t="inlineStr">
        <is>
          <t>30.09.2025</t>
        </is>
      </c>
      <c r="H243" s="67" t="inlineStr">
        <is>
          <t>✓</t>
        </is>
      </c>
      <c r="I243" s="67" t="inlineStr"/>
      <c r="J243" s="68" t="n">
        <v>4.046575342465753</v>
      </c>
    </row>
    <row r="244">
      <c r="A244" s="16" t="inlineStr">
        <is>
          <t>MER. YUM.</t>
        </is>
      </c>
      <c r="B244" s="16" t="inlineStr">
        <is>
          <t>ÖZLÜCE</t>
        </is>
      </c>
      <c r="C244" s="16" t="inlineStr">
        <is>
          <t>İDARİ İŞLER</t>
        </is>
      </c>
      <c r="D244" s="16" t="inlineStr">
        <is>
          <t>TEMİZLİK PERSONELİ</t>
        </is>
      </c>
      <c r="E244" s="16" t="inlineStr">
        <is>
          <t>KADRO</t>
        </is>
      </c>
      <c r="F244" s="16" t="inlineStr">
        <is>
          <t>05.08.2023</t>
        </is>
      </c>
      <c r="G244" s="16" t="inlineStr">
        <is>
          <t>05.07.2026</t>
        </is>
      </c>
      <c r="H244" s="67" t="inlineStr">
        <is>
          <t>✓</t>
        </is>
      </c>
      <c r="I244" s="67" t="inlineStr"/>
      <c r="J244" s="68" t="n">
        <v>2.917808219178082</v>
      </c>
    </row>
    <row r="245">
      <c r="A245" s="16" t="inlineStr">
        <is>
          <t>VAS. TUF.</t>
        </is>
      </c>
      <c r="B245" s="16" t="inlineStr">
        <is>
          <t>ÖZLÜCE</t>
        </is>
      </c>
      <c r="C245" s="16" t="inlineStr">
        <is>
          <t>İDARİ İŞLER</t>
        </is>
      </c>
      <c r="D245" s="16" t="inlineStr">
        <is>
          <t>TEMİZLİK PERSONELİ</t>
        </is>
      </c>
      <c r="E245" s="16" t="inlineStr">
        <is>
          <t>KADRO</t>
        </is>
      </c>
      <c r="F245" s="16" t="inlineStr">
        <is>
          <t>02.10.2025</t>
        </is>
      </c>
      <c r="G245" s="16" t="inlineStr"/>
      <c r="H245" s="67" t="inlineStr"/>
      <c r="I245" s="67" t="inlineStr">
        <is>
          <t>✓</t>
        </is>
      </c>
      <c r="J245" s="68" t="n">
        <v>0.9123287671232877</v>
      </c>
    </row>
    <row r="246">
      <c r="A246" s="16" t="inlineStr">
        <is>
          <t>ÖZD. SÖĞ.</t>
        </is>
      </c>
      <c r="B246" s="16" t="inlineStr">
        <is>
          <t>ÖZLÜCE</t>
        </is>
      </c>
      <c r="C246" s="16" t="inlineStr">
        <is>
          <t>KASA</t>
        </is>
      </c>
      <c r="D246" s="16" t="inlineStr">
        <is>
          <t>KASA ŞEFİ</t>
        </is>
      </c>
      <c r="E246" s="16" t="inlineStr">
        <is>
          <t>KADRO</t>
        </is>
      </c>
      <c r="F246" s="16" t="inlineStr">
        <is>
          <t>14.02.2019</t>
        </is>
      </c>
      <c r="G246" s="16" t="inlineStr">
        <is>
          <t>30.04.2026</t>
        </is>
      </c>
      <c r="H246" s="67" t="inlineStr">
        <is>
          <t>✓</t>
        </is>
      </c>
      <c r="I246" s="67" t="inlineStr"/>
      <c r="J246" s="68" t="n">
        <v>7.210958904109589</v>
      </c>
    </row>
    <row r="247">
      <c r="A247" s="16" t="inlineStr">
        <is>
          <t>AYŞ. CAN.</t>
        </is>
      </c>
      <c r="B247" s="16" t="inlineStr">
        <is>
          <t>ÖZLÜCE</t>
        </is>
      </c>
      <c r="C247" s="16" t="inlineStr">
        <is>
          <t>KASA</t>
        </is>
      </c>
      <c r="D247" s="16" t="inlineStr">
        <is>
          <t>KASA ŞEFİ YARDIMCISI</t>
        </is>
      </c>
      <c r="E247" s="16" t="inlineStr">
        <is>
          <t>KADRO</t>
        </is>
      </c>
      <c r="F247" s="16" t="inlineStr">
        <is>
          <t>09.03.2024</t>
        </is>
      </c>
      <c r="G247" s="16" t="inlineStr"/>
      <c r="H247" s="67" t="inlineStr">
        <is>
          <t>✓</t>
        </is>
      </c>
      <c r="I247" s="67" t="inlineStr">
        <is>
          <t>✓</t>
        </is>
      </c>
      <c r="J247" s="68" t="n">
        <v>2.479452054794521</v>
      </c>
    </row>
    <row r="248">
      <c r="A248" s="16" t="inlineStr">
        <is>
          <t>GÜL. ÖZG.</t>
        </is>
      </c>
      <c r="B248" s="16" t="inlineStr">
        <is>
          <t>ÖZLÜCE</t>
        </is>
      </c>
      <c r="C248" s="16" t="inlineStr">
        <is>
          <t>KASA</t>
        </is>
      </c>
      <c r="D248" s="16" t="inlineStr">
        <is>
          <t>KASİYER</t>
        </is>
      </c>
      <c r="E248" s="16" t="inlineStr">
        <is>
          <t>KADRO</t>
        </is>
      </c>
      <c r="F248" s="16" t="inlineStr">
        <is>
          <t>07.06.2024</t>
        </is>
      </c>
      <c r="G248" s="16" t="inlineStr">
        <is>
          <t>15.02.2026</t>
        </is>
      </c>
      <c r="H248" s="67" t="inlineStr">
        <is>
          <t>✓</t>
        </is>
      </c>
      <c r="I248" s="67" t="inlineStr"/>
      <c r="J248" s="68" t="n">
        <v>1.693150684931507</v>
      </c>
    </row>
    <row r="249">
      <c r="A249" s="16" t="inlineStr">
        <is>
          <t>NES. DEN.</t>
        </is>
      </c>
      <c r="B249" s="16" t="inlineStr">
        <is>
          <t>ÖZLÜCE</t>
        </is>
      </c>
      <c r="C249" s="16" t="inlineStr">
        <is>
          <t>KASA</t>
        </is>
      </c>
      <c r="D249" s="16" t="inlineStr">
        <is>
          <t>KASİYER</t>
        </is>
      </c>
      <c r="E249" s="16" t="inlineStr">
        <is>
          <t>KADRO</t>
        </is>
      </c>
      <c r="F249" s="16" t="inlineStr">
        <is>
          <t>28.10.2024</t>
        </is>
      </c>
      <c r="G249" s="16" t="inlineStr"/>
      <c r="H249" s="67" t="inlineStr">
        <is>
          <t>✓</t>
        </is>
      </c>
      <c r="I249" s="67" t="inlineStr">
        <is>
          <t>✓</t>
        </is>
      </c>
      <c r="J249" s="68" t="n">
        <v>1.841095890410959</v>
      </c>
    </row>
    <row r="250">
      <c r="A250" s="16" t="inlineStr">
        <is>
          <t>SAA. DİŞ.</t>
        </is>
      </c>
      <c r="B250" s="16" t="inlineStr">
        <is>
          <t>ÖZLÜCE</t>
        </is>
      </c>
      <c r="C250" s="16" t="inlineStr">
        <is>
          <t>KASA</t>
        </is>
      </c>
      <c r="D250" s="16" t="inlineStr">
        <is>
          <t>KASİYER</t>
        </is>
      </c>
      <c r="E250" s="16" t="inlineStr">
        <is>
          <t>KADRO</t>
        </is>
      </c>
      <c r="F250" s="16" t="inlineStr">
        <is>
          <t>31.05.2025</t>
        </is>
      </c>
      <c r="G250" s="16" t="inlineStr">
        <is>
          <t>26.04.2026</t>
        </is>
      </c>
      <c r="H250" s="67" t="inlineStr">
        <is>
          <t>✓</t>
        </is>
      </c>
      <c r="I250" s="67" t="inlineStr"/>
      <c r="J250" s="68" t="n">
        <v>0.9041095890410958</v>
      </c>
    </row>
    <row r="251">
      <c r="A251" s="69" t="inlineStr">
        <is>
          <t>BİL. IŞI.</t>
        </is>
      </c>
      <c r="B251" s="69" t="inlineStr">
        <is>
          <t>ÖZLÜCE</t>
        </is>
      </c>
      <c r="C251" s="69" t="inlineStr">
        <is>
          <t>KASA</t>
        </is>
      </c>
      <c r="D251" s="69" t="inlineStr">
        <is>
          <t>SATIŞ DANIŞMANI</t>
        </is>
      </c>
      <c r="E251" s="69" t="inlineStr">
        <is>
          <t>SEZONLUK</t>
        </is>
      </c>
      <c r="F251" s="69" t="inlineStr">
        <is>
          <t>15.08.2025</t>
        </is>
      </c>
      <c r="G251" s="69" t="inlineStr">
        <is>
          <t>23.09.2025</t>
        </is>
      </c>
      <c r="H251" s="70" t="inlineStr">
        <is>
          <t>✓</t>
        </is>
      </c>
      <c r="I251" s="70" t="inlineStr"/>
      <c r="J251" s="71" t="n">
        <v>0.1068493150684932</v>
      </c>
    </row>
    <row r="252">
      <c r="A252" s="69" t="inlineStr">
        <is>
          <t>İLA. KOR.</t>
        </is>
      </c>
      <c r="B252" s="69" t="inlineStr">
        <is>
          <t>ÖZLÜCE</t>
        </is>
      </c>
      <c r="C252" s="69" t="inlineStr">
        <is>
          <t>KASA</t>
        </is>
      </c>
      <c r="D252" s="69" t="inlineStr">
        <is>
          <t>KASİYER</t>
        </is>
      </c>
      <c r="E252" s="69" t="inlineStr">
        <is>
          <t>SEZONLUK</t>
        </is>
      </c>
      <c r="F252" s="69" t="inlineStr">
        <is>
          <t>15.08.2025</t>
        </is>
      </c>
      <c r="G252" s="69" t="inlineStr">
        <is>
          <t>21.09.2025</t>
        </is>
      </c>
      <c r="H252" s="70" t="inlineStr">
        <is>
          <t>✓</t>
        </is>
      </c>
      <c r="I252" s="70" t="inlineStr"/>
      <c r="J252" s="71" t="n">
        <v>0.1013698630136986</v>
      </c>
    </row>
    <row r="253">
      <c r="A253" s="69" t="inlineStr">
        <is>
          <t>SÜE. SEY.</t>
        </is>
      </c>
      <c r="B253" s="69" t="inlineStr">
        <is>
          <t>ÖZLÜCE</t>
        </is>
      </c>
      <c r="C253" s="69" t="inlineStr">
        <is>
          <t>KASA</t>
        </is>
      </c>
      <c r="D253" s="69" t="inlineStr">
        <is>
          <t>KASİYER</t>
        </is>
      </c>
      <c r="E253" s="69" t="inlineStr">
        <is>
          <t>SEZONLUK</t>
        </is>
      </c>
      <c r="F253" s="69" t="inlineStr">
        <is>
          <t>19.08.2025</t>
        </is>
      </c>
      <c r="G253" s="69" t="inlineStr">
        <is>
          <t>23.09.2025</t>
        </is>
      </c>
      <c r="H253" s="70" t="inlineStr">
        <is>
          <t>✓</t>
        </is>
      </c>
      <c r="I253" s="70" t="inlineStr"/>
      <c r="J253" s="71" t="n">
        <v>0.0958904109589041</v>
      </c>
    </row>
    <row r="254">
      <c r="A254" s="16" t="inlineStr">
        <is>
          <t>SUD. NAZ NAS.</t>
        </is>
      </c>
      <c r="B254" s="16" t="inlineStr">
        <is>
          <t>ÖZLÜCE</t>
        </is>
      </c>
      <c r="C254" s="16" t="inlineStr">
        <is>
          <t>KASA</t>
        </is>
      </c>
      <c r="D254" s="16" t="inlineStr">
        <is>
          <t>KASİYER</t>
        </is>
      </c>
      <c r="E254" s="16" t="inlineStr">
        <is>
          <t>KADRO</t>
        </is>
      </c>
      <c r="F254" s="16" t="inlineStr">
        <is>
          <t>25.11.2025</t>
        </is>
      </c>
      <c r="G254" s="16" t="inlineStr"/>
      <c r="H254" s="67" t="inlineStr"/>
      <c r="I254" s="67" t="inlineStr">
        <is>
          <t>✓</t>
        </is>
      </c>
      <c r="J254" s="68" t="n">
        <v>0.7643835616438356</v>
      </c>
    </row>
    <row r="255">
      <c r="A255" s="16" t="inlineStr">
        <is>
          <t>DİL. ERC.</t>
        </is>
      </c>
      <c r="B255" s="16" t="inlineStr">
        <is>
          <t>ÖZLÜCE</t>
        </is>
      </c>
      <c r="C255" s="16" t="inlineStr">
        <is>
          <t>KASA</t>
        </is>
      </c>
      <c r="D255" s="16" t="inlineStr">
        <is>
          <t>KASİYER</t>
        </is>
      </c>
      <c r="E255" s="16" t="inlineStr">
        <is>
          <t>KADRO</t>
        </is>
      </c>
      <c r="F255" s="16" t="inlineStr">
        <is>
          <t>07.03.2026</t>
        </is>
      </c>
      <c r="G255" s="16" t="inlineStr"/>
      <c r="H255" s="67" t="inlineStr"/>
      <c r="I255" s="67" t="inlineStr">
        <is>
          <t>✓</t>
        </is>
      </c>
      <c r="J255" s="68" t="n">
        <v>0.4849315068493151</v>
      </c>
    </row>
    <row r="256">
      <c r="A256" s="16" t="inlineStr">
        <is>
          <t>FİD. TAŞ</t>
        </is>
      </c>
      <c r="B256" s="16" t="inlineStr">
        <is>
          <t>ÖZLÜCE</t>
        </is>
      </c>
      <c r="C256" s="16" t="inlineStr">
        <is>
          <t>KASA</t>
        </is>
      </c>
      <c r="D256" s="16" t="inlineStr">
        <is>
          <t>KASİYER</t>
        </is>
      </c>
      <c r="E256" s="16" t="inlineStr">
        <is>
          <t>KADRO</t>
        </is>
      </c>
      <c r="F256" s="16" t="inlineStr">
        <is>
          <t>29.04.2026</t>
        </is>
      </c>
      <c r="G256" s="16" t="inlineStr"/>
      <c r="H256" s="67" t="inlineStr"/>
      <c r="I256" s="67" t="inlineStr">
        <is>
          <t>✓</t>
        </is>
      </c>
      <c r="J256" s="68" t="n">
        <v>0.3397260273972603</v>
      </c>
    </row>
    <row r="257">
      <c r="A257" s="16" t="inlineStr">
        <is>
          <t>ÖZD. SÖĞ.</t>
        </is>
      </c>
      <c r="B257" s="16" t="inlineStr">
        <is>
          <t>ÖZLÜCE</t>
        </is>
      </c>
      <c r="C257" s="16" t="inlineStr">
        <is>
          <t>KASA</t>
        </is>
      </c>
      <c r="D257" s="16" t="inlineStr">
        <is>
          <t>KASA ŞEFİ</t>
        </is>
      </c>
      <c r="E257" s="16" t="inlineStr">
        <is>
          <t>KADRO</t>
        </is>
      </c>
      <c r="F257" s="16" t="inlineStr">
        <is>
          <t>01.05.2026</t>
        </is>
      </c>
      <c r="G257" s="16" t="inlineStr"/>
      <c r="H257" s="67" t="inlineStr"/>
      <c r="I257" s="67" t="inlineStr">
        <is>
          <t>✓</t>
        </is>
      </c>
      <c r="J257" s="68" t="n">
        <v>0.3342465753424658</v>
      </c>
    </row>
    <row r="258">
      <c r="A258" s="69" t="inlineStr">
        <is>
          <t>MİN. DÜR.</t>
        </is>
      </c>
      <c r="B258" s="69" t="inlineStr">
        <is>
          <t>ÖZLÜCE</t>
        </is>
      </c>
      <c r="C258" s="69" t="inlineStr">
        <is>
          <t>KASA</t>
        </is>
      </c>
      <c r="D258" s="69" t="inlineStr">
        <is>
          <t>KASİYER</t>
        </is>
      </c>
      <c r="E258" s="69" t="inlineStr">
        <is>
          <t>SEZONLUK</t>
        </is>
      </c>
      <c r="F258" s="69" t="inlineStr">
        <is>
          <t>15.08.2026</t>
        </is>
      </c>
      <c r="G258" s="69" t="inlineStr"/>
      <c r="H258" s="70" t="inlineStr"/>
      <c r="I258" s="70" t="inlineStr">
        <is>
          <t>✓</t>
        </is>
      </c>
      <c r="J258" s="71" t="n">
        <v>0.04383561643835616</v>
      </c>
    </row>
    <row r="259">
      <c r="A259" s="69" t="inlineStr">
        <is>
          <t>ALE. KAY.</t>
        </is>
      </c>
      <c r="B259" s="69" t="inlineStr">
        <is>
          <t>ÖZLÜCE</t>
        </is>
      </c>
      <c r="C259" s="69" t="inlineStr">
        <is>
          <t>KASA</t>
        </is>
      </c>
      <c r="D259" s="69" t="inlineStr">
        <is>
          <t>KASİYER</t>
        </is>
      </c>
      <c r="E259" s="69" t="inlineStr">
        <is>
          <t>SEZONLUK</t>
        </is>
      </c>
      <c r="F259" s="69" t="inlineStr">
        <is>
          <t>22.08.2026</t>
        </is>
      </c>
      <c r="G259" s="69" t="inlineStr"/>
      <c r="H259" s="70" t="inlineStr"/>
      <c r="I259" s="70" t="inlineStr">
        <is>
          <t>✓</t>
        </is>
      </c>
      <c r="J259" s="71" t="n">
        <v>0.02465753424657534</v>
      </c>
    </row>
    <row r="260">
      <c r="A260" s="69" t="inlineStr">
        <is>
          <t>CEY. KAB.</t>
        </is>
      </c>
      <c r="B260" s="69" t="inlineStr">
        <is>
          <t>ÖZLÜCE</t>
        </is>
      </c>
      <c r="C260" s="69" t="inlineStr">
        <is>
          <t>KASA</t>
        </is>
      </c>
      <c r="D260" s="69" t="inlineStr">
        <is>
          <t>KASİYER</t>
        </is>
      </c>
      <c r="E260" s="69" t="inlineStr">
        <is>
          <t>SEZONLUK</t>
        </is>
      </c>
      <c r="F260" s="69" t="inlineStr">
        <is>
          <t>29.08.2026</t>
        </is>
      </c>
      <c r="G260" s="69" t="inlineStr"/>
      <c r="H260" s="70" t="inlineStr"/>
      <c r="I260" s="70" t="inlineStr">
        <is>
          <t>✓</t>
        </is>
      </c>
      <c r="J260" s="71" t="n">
        <v>0.005479452054794521</v>
      </c>
    </row>
    <row r="261">
      <c r="A261" s="16" t="inlineStr">
        <is>
          <t>ÖMÜ. POY.</t>
        </is>
      </c>
      <c r="B261" s="16" t="inlineStr">
        <is>
          <t>ÖZLÜCE</t>
        </is>
      </c>
      <c r="C261" s="16" t="inlineStr">
        <is>
          <t>KIRTASİYE</t>
        </is>
      </c>
      <c r="D261" s="16" t="inlineStr">
        <is>
          <t>SATIŞ DANIŞMANI</t>
        </is>
      </c>
      <c r="E261" s="16" t="inlineStr">
        <is>
          <t>KADRO</t>
        </is>
      </c>
      <c r="F261" s="16" t="inlineStr">
        <is>
          <t>12.11.2024</t>
        </is>
      </c>
      <c r="G261" s="16" t="inlineStr">
        <is>
          <t>15.03.2026</t>
        </is>
      </c>
      <c r="H261" s="67" t="inlineStr">
        <is>
          <t>✓</t>
        </is>
      </c>
      <c r="I261" s="67" t="inlineStr"/>
      <c r="J261" s="68" t="n">
        <v>1.336986301369863</v>
      </c>
    </row>
    <row r="262">
      <c r="A262" s="16" t="inlineStr">
        <is>
          <t>MUR. POL.</t>
        </is>
      </c>
      <c r="B262" s="16" t="inlineStr">
        <is>
          <t>ÖZLÜCE</t>
        </is>
      </c>
      <c r="C262" s="16" t="inlineStr">
        <is>
          <t>KIRTASİYE</t>
        </is>
      </c>
      <c r="D262" s="16" t="inlineStr">
        <is>
          <t>REYON ŞEFİ</t>
        </is>
      </c>
      <c r="E262" s="16" t="inlineStr">
        <is>
          <t>KADRO</t>
        </is>
      </c>
      <c r="F262" s="16" t="inlineStr">
        <is>
          <t>22.04.2025</t>
        </is>
      </c>
      <c r="G262" s="16" t="inlineStr"/>
      <c r="H262" s="67" t="inlineStr">
        <is>
          <t>✓</t>
        </is>
      </c>
      <c r="I262" s="67" t="inlineStr">
        <is>
          <t>✓</t>
        </is>
      </c>
      <c r="J262" s="68" t="n">
        <v>1.358904109589041</v>
      </c>
    </row>
    <row r="263">
      <c r="A263" s="16" t="inlineStr">
        <is>
          <t>YUS. SEL. BUL.</t>
        </is>
      </c>
      <c r="B263" s="16" t="inlineStr">
        <is>
          <t>ÖZLÜCE</t>
        </is>
      </c>
      <c r="C263" s="16" t="inlineStr">
        <is>
          <t>KIRTASİYE</t>
        </is>
      </c>
      <c r="D263" s="16" t="inlineStr">
        <is>
          <t>SATIŞ DANIŞMANI</t>
        </is>
      </c>
      <c r="E263" s="16" t="inlineStr">
        <is>
          <t>KADRO</t>
        </is>
      </c>
      <c r="F263" s="16" t="inlineStr">
        <is>
          <t>20.06.2025</t>
        </is>
      </c>
      <c r="G263" s="16" t="inlineStr">
        <is>
          <t>14.10.2025</t>
        </is>
      </c>
      <c r="H263" s="67" t="inlineStr">
        <is>
          <t>✓</t>
        </is>
      </c>
      <c r="I263" s="67" t="inlineStr"/>
      <c r="J263" s="68" t="n">
        <v>0.3178082191780822</v>
      </c>
    </row>
    <row r="264">
      <c r="A264" s="16" t="inlineStr">
        <is>
          <t>BUR. BİN.</t>
        </is>
      </c>
      <c r="B264" s="16" t="inlineStr">
        <is>
          <t>ÖZLÜCE</t>
        </is>
      </c>
      <c r="C264" s="16" t="inlineStr">
        <is>
          <t>KIRTASİYE</t>
        </is>
      </c>
      <c r="D264" s="16" t="inlineStr">
        <is>
          <t>SATIŞ DANIŞMANI</t>
        </is>
      </c>
      <c r="E264" s="16" t="inlineStr"/>
      <c r="F264" s="16" t="inlineStr">
        <is>
          <t>23.06.2025</t>
        </is>
      </c>
      <c r="G264" s="16" t="inlineStr">
        <is>
          <t>31.08.2025</t>
        </is>
      </c>
      <c r="H264" s="67" t="inlineStr">
        <is>
          <t>✓</t>
        </is>
      </c>
      <c r="I264" s="67" t="inlineStr"/>
      <c r="J264" s="68" t="n">
        <v>0.189041095890411</v>
      </c>
    </row>
    <row r="265">
      <c r="A265" s="16" t="inlineStr">
        <is>
          <t>ÖZK. DUR.</t>
        </is>
      </c>
      <c r="B265" s="16" t="inlineStr">
        <is>
          <t>ÖZLÜCE</t>
        </is>
      </c>
      <c r="C265" s="16" t="inlineStr">
        <is>
          <t>KIRTASİYE</t>
        </is>
      </c>
      <c r="D265" s="16" t="inlineStr">
        <is>
          <t>SATIŞ DANIŞMANI</t>
        </is>
      </c>
      <c r="E265" s="16" t="inlineStr">
        <is>
          <t>KADRO</t>
        </is>
      </c>
      <c r="F265" s="16" t="inlineStr">
        <is>
          <t>17.07.2025</t>
        </is>
      </c>
      <c r="G265" s="16" t="inlineStr">
        <is>
          <t>05.10.2025</t>
        </is>
      </c>
      <c r="H265" s="67" t="inlineStr">
        <is>
          <t>✓</t>
        </is>
      </c>
      <c r="I265" s="67" t="inlineStr"/>
      <c r="J265" s="68" t="n">
        <v>0.2191780821917808</v>
      </c>
    </row>
    <row r="266">
      <c r="A266" s="16" t="inlineStr">
        <is>
          <t>HAT. REY. GÜL</t>
        </is>
      </c>
      <c r="B266" s="16" t="inlineStr">
        <is>
          <t>ÖZLÜCE</t>
        </is>
      </c>
      <c r="C266" s="16" t="inlineStr">
        <is>
          <t>KIRTASİYE</t>
        </is>
      </c>
      <c r="D266" s="16" t="inlineStr">
        <is>
          <t>SATIŞ DANIŞMANI</t>
        </is>
      </c>
      <c r="E266" s="16" t="inlineStr">
        <is>
          <t>KADRO</t>
        </is>
      </c>
      <c r="F266" s="16" t="inlineStr">
        <is>
          <t>22.07.2025</t>
        </is>
      </c>
      <c r="G266" s="16" t="inlineStr">
        <is>
          <t>22.09.2025</t>
        </is>
      </c>
      <c r="H266" s="67" t="inlineStr">
        <is>
          <t>✓</t>
        </is>
      </c>
      <c r="I266" s="67" t="inlineStr"/>
      <c r="J266" s="68" t="n">
        <v>0.1698630136986301</v>
      </c>
    </row>
    <row r="267">
      <c r="A267" s="69" t="inlineStr">
        <is>
          <t>FAT. CER. AKG.</t>
        </is>
      </c>
      <c r="B267" s="69" t="inlineStr">
        <is>
          <t>ÖZLÜCE</t>
        </is>
      </c>
      <c r="C267" s="69" t="inlineStr">
        <is>
          <t>KIRTASİYE</t>
        </is>
      </c>
      <c r="D267" s="69" t="inlineStr">
        <is>
          <t>SATIŞ DANIŞMANI</t>
        </is>
      </c>
      <c r="E267" s="69" t="inlineStr">
        <is>
          <t>SEZONLUK</t>
        </is>
      </c>
      <c r="F267" s="69" t="inlineStr">
        <is>
          <t>15.08.2025</t>
        </is>
      </c>
      <c r="G267" s="69" t="inlineStr">
        <is>
          <t>14.09.2025</t>
        </is>
      </c>
      <c r="H267" s="70" t="inlineStr">
        <is>
          <t>✓</t>
        </is>
      </c>
      <c r="I267" s="70" t="inlineStr"/>
      <c r="J267" s="71" t="n">
        <v>0.0821917808219178</v>
      </c>
    </row>
    <row r="268">
      <c r="A268" s="69" t="inlineStr">
        <is>
          <t>YAV. TAY. AKY.</t>
        </is>
      </c>
      <c r="B268" s="69" t="inlineStr">
        <is>
          <t>ÖZLÜCE</t>
        </is>
      </c>
      <c r="C268" s="69" t="inlineStr">
        <is>
          <t>KIRTASİYE</t>
        </is>
      </c>
      <c r="D268" s="69" t="inlineStr">
        <is>
          <t>SATIŞ DANIŞMANI</t>
        </is>
      </c>
      <c r="E268" s="69" t="inlineStr">
        <is>
          <t>SEZONLUK</t>
        </is>
      </c>
      <c r="F268" s="69" t="inlineStr">
        <is>
          <t>15.08.2025</t>
        </is>
      </c>
      <c r="G268" s="69" t="inlineStr">
        <is>
          <t>27.09.2025</t>
        </is>
      </c>
      <c r="H268" s="70" t="inlineStr">
        <is>
          <t>✓</t>
        </is>
      </c>
      <c r="I268" s="70" t="inlineStr"/>
      <c r="J268" s="71" t="n">
        <v>0.1178082191780822</v>
      </c>
    </row>
    <row r="269">
      <c r="A269" s="69" t="inlineStr">
        <is>
          <t>SIL. ŞEY. KUR.</t>
        </is>
      </c>
      <c r="B269" s="69" t="inlineStr">
        <is>
          <t>ÖZLÜCE</t>
        </is>
      </c>
      <c r="C269" s="69" t="inlineStr">
        <is>
          <t>KIRTASİYE</t>
        </is>
      </c>
      <c r="D269" s="69" t="inlineStr">
        <is>
          <t>SATIŞ DANIŞMANI</t>
        </is>
      </c>
      <c r="E269" s="69" t="inlineStr">
        <is>
          <t>SEZONLUK</t>
        </is>
      </c>
      <c r="F269" s="69" t="inlineStr">
        <is>
          <t>15.08.2025</t>
        </is>
      </c>
      <c r="G269" s="69" t="inlineStr">
        <is>
          <t>20.09.2025</t>
        </is>
      </c>
      <c r="H269" s="70" t="inlineStr">
        <is>
          <t>✓</t>
        </is>
      </c>
      <c r="I269" s="70" t="inlineStr"/>
      <c r="J269" s="71" t="n">
        <v>0.09863013698630137</v>
      </c>
    </row>
    <row r="270">
      <c r="A270" s="69" t="inlineStr">
        <is>
          <t>HAY. KUŞ</t>
        </is>
      </c>
      <c r="B270" s="69" t="inlineStr">
        <is>
          <t>ÖZLÜCE</t>
        </is>
      </c>
      <c r="C270" s="69" t="inlineStr">
        <is>
          <t>KIRTASİYE</t>
        </is>
      </c>
      <c r="D270" s="69" t="inlineStr">
        <is>
          <t>SATIŞ DANIŞMANI</t>
        </is>
      </c>
      <c r="E270" s="69" t="inlineStr">
        <is>
          <t>SEZONLUK</t>
        </is>
      </c>
      <c r="F270" s="69" t="inlineStr">
        <is>
          <t>16.08.2025</t>
        </is>
      </c>
      <c r="G270" s="69" t="inlineStr">
        <is>
          <t>21.09.2025</t>
        </is>
      </c>
      <c r="H270" s="70" t="inlineStr">
        <is>
          <t>✓</t>
        </is>
      </c>
      <c r="I270" s="70" t="inlineStr"/>
      <c r="J270" s="71" t="n">
        <v>0.09863013698630137</v>
      </c>
    </row>
    <row r="271">
      <c r="A271" s="69" t="inlineStr">
        <is>
          <t>AZR. ALT.</t>
        </is>
      </c>
      <c r="B271" s="69" t="inlineStr">
        <is>
          <t>ÖZLÜCE</t>
        </is>
      </c>
      <c r="C271" s="69" t="inlineStr">
        <is>
          <t>KIRTASİYE</t>
        </is>
      </c>
      <c r="D271" s="69" t="inlineStr">
        <is>
          <t>SATIŞ DANIŞMANI</t>
        </is>
      </c>
      <c r="E271" s="69" t="inlineStr">
        <is>
          <t>SEZONLUK</t>
        </is>
      </c>
      <c r="F271" s="69" t="inlineStr">
        <is>
          <t>23.08.2025</t>
        </is>
      </c>
      <c r="G271" s="69" t="inlineStr">
        <is>
          <t>20.11.2025</t>
        </is>
      </c>
      <c r="H271" s="70" t="inlineStr">
        <is>
          <t>✓</t>
        </is>
      </c>
      <c r="I271" s="70" t="inlineStr"/>
      <c r="J271" s="71" t="n">
        <v>0.2438356164383562</v>
      </c>
    </row>
    <row r="272">
      <c r="A272" s="16" t="inlineStr">
        <is>
          <t>FER. AKM.</t>
        </is>
      </c>
      <c r="B272" s="16" t="inlineStr">
        <is>
          <t>ÖZLÜCE</t>
        </is>
      </c>
      <c r="C272" s="16" t="inlineStr">
        <is>
          <t>KIRTASİYE</t>
        </is>
      </c>
      <c r="D272" s="16" t="inlineStr">
        <is>
          <t>SATIŞ DANIŞMANI</t>
        </is>
      </c>
      <c r="E272" s="16" t="inlineStr">
        <is>
          <t>KADRO</t>
        </is>
      </c>
      <c r="F272" s="16" t="inlineStr">
        <is>
          <t>08.10.2025</t>
        </is>
      </c>
      <c r="G272" s="16" t="inlineStr"/>
      <c r="H272" s="67" t="inlineStr"/>
      <c r="I272" s="67" t="inlineStr">
        <is>
          <t>✓</t>
        </is>
      </c>
      <c r="J272" s="68" t="n">
        <v>0.8958904109589041</v>
      </c>
    </row>
    <row r="273">
      <c r="A273" s="16" t="inlineStr">
        <is>
          <t>RAB. ESM.</t>
        </is>
      </c>
      <c r="B273" s="16" t="inlineStr">
        <is>
          <t>ÖZLÜCE</t>
        </is>
      </c>
      <c r="C273" s="16" t="inlineStr">
        <is>
          <t>KIRTASİYE</t>
        </is>
      </c>
      <c r="D273" s="16" t="inlineStr">
        <is>
          <t>SATIŞ DANIŞMANI</t>
        </is>
      </c>
      <c r="E273" s="16" t="inlineStr">
        <is>
          <t>KADRO</t>
        </is>
      </c>
      <c r="F273" s="16" t="inlineStr">
        <is>
          <t>12.11.2025</t>
        </is>
      </c>
      <c r="G273" s="16" t="inlineStr"/>
      <c r="H273" s="67" t="inlineStr"/>
      <c r="I273" s="67" t="inlineStr">
        <is>
          <t>✓</t>
        </is>
      </c>
      <c r="J273" s="68" t="n">
        <v>0.8</v>
      </c>
    </row>
    <row r="274">
      <c r="A274" s="16" t="inlineStr">
        <is>
          <t>YİĞ. HAL. ÇIN.</t>
        </is>
      </c>
      <c r="B274" s="16" t="inlineStr">
        <is>
          <t>ÖZLÜCE</t>
        </is>
      </c>
      <c r="C274" s="16" t="inlineStr">
        <is>
          <t>KIRTASİYE</t>
        </is>
      </c>
      <c r="D274" s="16" t="inlineStr">
        <is>
          <t>SATIŞ DANIŞMANI</t>
        </is>
      </c>
      <c r="E274" s="16" t="inlineStr">
        <is>
          <t>KADRO</t>
        </is>
      </c>
      <c r="F274" s="16" t="inlineStr">
        <is>
          <t>20.12.2025</t>
        </is>
      </c>
      <c r="G274" s="16" t="inlineStr"/>
      <c r="H274" s="67" t="inlineStr"/>
      <c r="I274" s="67" t="inlineStr">
        <is>
          <t>✓</t>
        </is>
      </c>
      <c r="J274" s="68" t="n">
        <v>0.6958904109589041</v>
      </c>
    </row>
    <row r="275">
      <c r="A275" s="16" t="inlineStr">
        <is>
          <t>HAY. KIL.</t>
        </is>
      </c>
      <c r="B275" s="16" t="inlineStr">
        <is>
          <t>ÖZLÜCE</t>
        </is>
      </c>
      <c r="C275" s="16" t="inlineStr">
        <is>
          <t>KIRTASİYE</t>
        </is>
      </c>
      <c r="D275" s="16" t="inlineStr">
        <is>
          <t>SATIŞ DANIŞMANI</t>
        </is>
      </c>
      <c r="E275" s="16" t="inlineStr">
        <is>
          <t>KADRO</t>
        </is>
      </c>
      <c r="F275" s="16" t="inlineStr">
        <is>
          <t>06.02.2026</t>
        </is>
      </c>
      <c r="G275" s="16" t="inlineStr"/>
      <c r="H275" s="67" t="inlineStr"/>
      <c r="I275" s="67" t="inlineStr">
        <is>
          <t>✓</t>
        </is>
      </c>
      <c r="J275" s="68" t="n">
        <v>0.5643835616438356</v>
      </c>
    </row>
    <row r="276">
      <c r="A276" s="16" t="inlineStr">
        <is>
          <t>İRE. ARG.</t>
        </is>
      </c>
      <c r="B276" s="16" t="inlineStr">
        <is>
          <t>ÖZLÜCE</t>
        </is>
      </c>
      <c r="C276" s="16" t="inlineStr">
        <is>
          <t>KIRTASİYE</t>
        </is>
      </c>
      <c r="D276" s="16" t="inlineStr">
        <is>
          <t>SATIŞ DANIŞMANI</t>
        </is>
      </c>
      <c r="E276" s="16" t="inlineStr">
        <is>
          <t>KADRO</t>
        </is>
      </c>
      <c r="F276" s="16" t="inlineStr">
        <is>
          <t>01.07.2026</t>
        </is>
      </c>
      <c r="G276" s="16" t="inlineStr"/>
      <c r="H276" s="67" t="inlineStr"/>
      <c r="I276" s="67" t="inlineStr">
        <is>
          <t>✓</t>
        </is>
      </c>
      <c r="J276" s="68" t="n">
        <v>0.1671232876712329</v>
      </c>
    </row>
    <row r="277">
      <c r="A277" s="16" t="inlineStr">
        <is>
          <t>ERO. ATI.</t>
        </is>
      </c>
      <c r="B277" s="16" t="inlineStr">
        <is>
          <t>ÖZLÜCE</t>
        </is>
      </c>
      <c r="C277" s="16" t="inlineStr">
        <is>
          <t>KIRTASİYE</t>
        </is>
      </c>
      <c r="D277" s="16" t="inlineStr">
        <is>
          <t>SATIŞ DANIŞMANI</t>
        </is>
      </c>
      <c r="E277" s="16" t="inlineStr">
        <is>
          <t>KADRO</t>
        </is>
      </c>
      <c r="F277" s="16" t="inlineStr">
        <is>
          <t>11.07.2026</t>
        </is>
      </c>
      <c r="G277" s="16" t="inlineStr"/>
      <c r="H277" s="67" t="inlineStr"/>
      <c r="I277" s="67" t="inlineStr">
        <is>
          <t>✓</t>
        </is>
      </c>
      <c r="J277" s="68" t="n">
        <v>0.1397260273972603</v>
      </c>
    </row>
    <row r="278">
      <c r="A278" s="69" t="inlineStr">
        <is>
          <t>HUL. HAK.</t>
        </is>
      </c>
      <c r="B278" s="69" t="inlineStr">
        <is>
          <t>ÖZLÜCE</t>
        </is>
      </c>
      <c r="C278" s="69" t="inlineStr">
        <is>
          <t>KIRTASİYE</t>
        </is>
      </c>
      <c r="D278" s="69" t="inlineStr">
        <is>
          <t>SATIŞ DANIŞMANI</t>
        </is>
      </c>
      <c r="E278" s="69" t="inlineStr">
        <is>
          <t>SEZONLUK</t>
        </is>
      </c>
      <c r="F278" s="69" t="inlineStr">
        <is>
          <t>10.08.2026</t>
        </is>
      </c>
      <c r="G278" s="69" t="inlineStr"/>
      <c r="H278" s="70" t="inlineStr"/>
      <c r="I278" s="70" t="inlineStr">
        <is>
          <t>✓</t>
        </is>
      </c>
      <c r="J278" s="71" t="n">
        <v>0.05753424657534247</v>
      </c>
    </row>
    <row r="279">
      <c r="A279" s="69" t="inlineStr">
        <is>
          <t>EMR. CAN SAY.</t>
        </is>
      </c>
      <c r="B279" s="69" t="inlineStr">
        <is>
          <t>ÖZLÜCE</t>
        </is>
      </c>
      <c r="C279" s="69" t="inlineStr">
        <is>
          <t>KIRTASİYE</t>
        </is>
      </c>
      <c r="D279" s="69" t="inlineStr">
        <is>
          <t>SATIŞ DANIŞMANI</t>
        </is>
      </c>
      <c r="E279" s="69" t="inlineStr">
        <is>
          <t>SEZONLUK</t>
        </is>
      </c>
      <c r="F279" s="69" t="inlineStr">
        <is>
          <t>14.08.2026</t>
        </is>
      </c>
      <c r="G279" s="69" t="inlineStr"/>
      <c r="H279" s="70" t="inlineStr"/>
      <c r="I279" s="70" t="inlineStr">
        <is>
          <t>✓</t>
        </is>
      </c>
      <c r="J279" s="71" t="n">
        <v>0.04657534246575343</v>
      </c>
    </row>
    <row r="280">
      <c r="A280" s="69" t="inlineStr">
        <is>
          <t>BER. İNC.</t>
        </is>
      </c>
      <c r="B280" s="69" t="inlineStr">
        <is>
          <t>ÖZLÜCE</t>
        </is>
      </c>
      <c r="C280" s="69" t="inlineStr">
        <is>
          <t>KIRTASİYE</t>
        </is>
      </c>
      <c r="D280" s="69" t="inlineStr">
        <is>
          <t>SATIŞ DANIŞMANI</t>
        </is>
      </c>
      <c r="E280" s="69" t="inlineStr">
        <is>
          <t>SEZONLUK</t>
        </is>
      </c>
      <c r="F280" s="69" t="inlineStr">
        <is>
          <t>15.08.2026</t>
        </is>
      </c>
      <c r="G280" s="69" t="inlineStr"/>
      <c r="H280" s="70" t="inlineStr"/>
      <c r="I280" s="70" t="inlineStr">
        <is>
          <t>✓</t>
        </is>
      </c>
      <c r="J280" s="71" t="n">
        <v>0.04383561643835616</v>
      </c>
    </row>
    <row r="281">
      <c r="A281" s="69" t="inlineStr">
        <is>
          <t>UMU. MER. UZU.</t>
        </is>
      </c>
      <c r="B281" s="69" t="inlineStr">
        <is>
          <t>ÖZLÜCE</t>
        </is>
      </c>
      <c r="C281" s="69" t="inlineStr">
        <is>
          <t>KIRTASİYE</t>
        </is>
      </c>
      <c r="D281" s="69" t="inlineStr">
        <is>
          <t>SATIŞ DANIŞMANI</t>
        </is>
      </c>
      <c r="E281" s="69" t="inlineStr">
        <is>
          <t>SEZONLUK</t>
        </is>
      </c>
      <c r="F281" s="69" t="inlineStr">
        <is>
          <t>22.08.2026</t>
        </is>
      </c>
      <c r="G281" s="69" t="inlineStr"/>
      <c r="H281" s="70" t="inlineStr"/>
      <c r="I281" s="70" t="inlineStr">
        <is>
          <t>✓</t>
        </is>
      </c>
      <c r="J281" s="71" t="n">
        <v>0.02465753424657534</v>
      </c>
    </row>
    <row r="282">
      <c r="A282" s="16" t="inlineStr">
        <is>
          <t>MUH. SAİ. URK.</t>
        </is>
      </c>
      <c r="B282" s="16" t="inlineStr">
        <is>
          <t>ÖZLÜCE</t>
        </is>
      </c>
      <c r="C282" s="16" t="inlineStr">
        <is>
          <t>KÜLTÜR</t>
        </is>
      </c>
      <c r="D282" s="16" t="inlineStr">
        <is>
          <t>REYON ŞEFİ</t>
        </is>
      </c>
      <c r="E282" s="16" t="inlineStr">
        <is>
          <t>KADRO</t>
        </is>
      </c>
      <c r="F282" s="16" t="inlineStr">
        <is>
          <t>11.12.2019</t>
        </is>
      </c>
      <c r="G282" s="16" t="inlineStr">
        <is>
          <t>16.03.2026</t>
        </is>
      </c>
      <c r="H282" s="67" t="inlineStr">
        <is>
          <t>✓</t>
        </is>
      </c>
      <c r="I282" s="67" t="inlineStr"/>
      <c r="J282" s="68" t="n">
        <v>6.265753424657534</v>
      </c>
    </row>
    <row r="283">
      <c r="A283" s="16" t="inlineStr">
        <is>
          <t>ÇAĞ. UYS.</t>
        </is>
      </c>
      <c r="B283" s="16" t="inlineStr">
        <is>
          <t>ÖZLÜCE</t>
        </is>
      </c>
      <c r="C283" s="16" t="inlineStr">
        <is>
          <t>KÜLTÜR</t>
        </is>
      </c>
      <c r="D283" s="16" t="inlineStr">
        <is>
          <t>REYON ŞEFİ</t>
        </is>
      </c>
      <c r="E283" s="16" t="inlineStr">
        <is>
          <t>KADRO</t>
        </is>
      </c>
      <c r="F283" s="16" t="inlineStr">
        <is>
          <t>19.01.2024</t>
        </is>
      </c>
      <c r="G283" s="16" t="inlineStr"/>
      <c r="H283" s="67" t="inlineStr">
        <is>
          <t>✓</t>
        </is>
      </c>
      <c r="I283" s="67" t="inlineStr">
        <is>
          <t>✓</t>
        </is>
      </c>
      <c r="J283" s="68" t="n">
        <v>2.616438356164383</v>
      </c>
    </row>
    <row r="284">
      <c r="A284" s="16" t="inlineStr">
        <is>
          <t>HAT. KÜB. BOZ.</t>
        </is>
      </c>
      <c r="B284" s="16" t="inlineStr">
        <is>
          <t>ÖZLÜCE</t>
        </is>
      </c>
      <c r="C284" s="16" t="inlineStr">
        <is>
          <t>KÜLTÜR</t>
        </is>
      </c>
      <c r="D284" s="16" t="inlineStr">
        <is>
          <t>SATIŞ DANIŞMANI</t>
        </is>
      </c>
      <c r="E284" s="16" t="inlineStr">
        <is>
          <t>KADRO</t>
        </is>
      </c>
      <c r="F284" s="16" t="inlineStr">
        <is>
          <t>14.05.2024</t>
        </is>
      </c>
      <c r="G284" s="16" t="inlineStr"/>
      <c r="H284" s="67" t="inlineStr">
        <is>
          <t>✓</t>
        </is>
      </c>
      <c r="I284" s="67" t="inlineStr">
        <is>
          <t>✓</t>
        </is>
      </c>
      <c r="J284" s="68" t="n">
        <v>2.298630136986302</v>
      </c>
    </row>
    <row r="285">
      <c r="A285" s="16" t="inlineStr">
        <is>
          <t>AYŞ. BAY.</t>
        </is>
      </c>
      <c r="B285" s="16" t="inlineStr">
        <is>
          <t>ÖZLÜCE</t>
        </is>
      </c>
      <c r="C285" s="16" t="inlineStr">
        <is>
          <t>KÜLTÜR</t>
        </is>
      </c>
      <c r="D285" s="16" t="inlineStr">
        <is>
          <t>SATIŞ DANIŞMANI</t>
        </is>
      </c>
      <c r="E285" s="16" t="inlineStr">
        <is>
          <t>KADRO</t>
        </is>
      </c>
      <c r="F285" s="16" t="inlineStr">
        <is>
          <t>22.11.2024</t>
        </is>
      </c>
      <c r="G285" s="16" t="inlineStr"/>
      <c r="H285" s="67" t="inlineStr">
        <is>
          <t>✓</t>
        </is>
      </c>
      <c r="I285" s="67" t="inlineStr">
        <is>
          <t>✓</t>
        </is>
      </c>
      <c r="J285" s="68" t="n">
        <v>1.772602739726027</v>
      </c>
    </row>
    <row r="286">
      <c r="A286" s="16" t="inlineStr">
        <is>
          <t>MER. MEŞ.</t>
        </is>
      </c>
      <c r="B286" s="16" t="inlineStr">
        <is>
          <t>ÖZLÜCE</t>
        </is>
      </c>
      <c r="C286" s="16" t="inlineStr">
        <is>
          <t>KÜLTÜR</t>
        </is>
      </c>
      <c r="D286" s="16" t="inlineStr">
        <is>
          <t>SATIŞ DANIŞMANI</t>
        </is>
      </c>
      <c r="E286" s="16" t="inlineStr">
        <is>
          <t>KADRO</t>
        </is>
      </c>
      <c r="F286" s="16" t="inlineStr">
        <is>
          <t>30.05.2025</t>
        </is>
      </c>
      <c r="G286" s="16" t="inlineStr"/>
      <c r="H286" s="67" t="inlineStr">
        <is>
          <t>✓</t>
        </is>
      </c>
      <c r="I286" s="67" t="inlineStr">
        <is>
          <t>✓</t>
        </is>
      </c>
      <c r="J286" s="68" t="n">
        <v>1.254794520547945</v>
      </c>
    </row>
    <row r="287">
      <c r="A287" s="16" t="inlineStr">
        <is>
          <t>YUS. ERE. GÜN.</t>
        </is>
      </c>
      <c r="B287" s="16" t="inlineStr">
        <is>
          <t>ÖZLÜCE</t>
        </is>
      </c>
      <c r="C287" s="16" t="inlineStr">
        <is>
          <t>KÜLTÜR</t>
        </is>
      </c>
      <c r="D287" s="16" t="inlineStr">
        <is>
          <t>SATIŞ DANIŞMANI</t>
        </is>
      </c>
      <c r="E287" s="16" t="inlineStr">
        <is>
          <t>KADRO</t>
        </is>
      </c>
      <c r="F287" s="16" t="inlineStr">
        <is>
          <t>13.08.2025</t>
        </is>
      </c>
      <c r="G287" s="16" t="inlineStr">
        <is>
          <t>25.01.2026</t>
        </is>
      </c>
      <c r="H287" s="67" t="inlineStr">
        <is>
          <t>✓</t>
        </is>
      </c>
      <c r="I287" s="67" t="inlineStr"/>
      <c r="J287" s="68" t="n">
        <v>0.4520547945205479</v>
      </c>
    </row>
    <row r="288">
      <c r="A288" s="16" t="inlineStr">
        <is>
          <t>BUR. DOĞ. FEY.</t>
        </is>
      </c>
      <c r="B288" s="16" t="inlineStr">
        <is>
          <t>ÖZLÜCE</t>
        </is>
      </c>
      <c r="C288" s="16" t="inlineStr">
        <is>
          <t>KÜLTÜR</t>
        </is>
      </c>
      <c r="D288" s="16" t="inlineStr">
        <is>
          <t>SATIŞ DANIŞMANI</t>
        </is>
      </c>
      <c r="E288" s="16" t="inlineStr">
        <is>
          <t>KADRO</t>
        </is>
      </c>
      <c r="F288" s="16" t="inlineStr">
        <is>
          <t>14.02.2026</t>
        </is>
      </c>
      <c r="G288" s="16" t="inlineStr"/>
      <c r="H288" s="67" t="inlineStr"/>
      <c r="I288" s="67" t="inlineStr">
        <is>
          <t>✓</t>
        </is>
      </c>
      <c r="J288" s="68" t="n">
        <v>0.5424657534246575</v>
      </c>
    </row>
    <row r="289">
      <c r="A289" s="16" t="inlineStr">
        <is>
          <t>CAN. BAK.</t>
        </is>
      </c>
      <c r="B289" s="16" t="inlineStr">
        <is>
          <t>ÖZLÜCE</t>
        </is>
      </c>
      <c r="C289" s="16" t="inlineStr">
        <is>
          <t>KÜLTÜR</t>
        </is>
      </c>
      <c r="D289" s="16" t="inlineStr">
        <is>
          <t>SATIŞ DANIŞMANI</t>
        </is>
      </c>
      <c r="E289" s="16" t="inlineStr">
        <is>
          <t>KADRO</t>
        </is>
      </c>
      <c r="F289" s="16" t="inlineStr">
        <is>
          <t>12.05.2026</t>
        </is>
      </c>
      <c r="G289" s="16" t="inlineStr"/>
      <c r="H289" s="67" t="inlineStr"/>
      <c r="I289" s="67" t="inlineStr">
        <is>
          <t>✓</t>
        </is>
      </c>
      <c r="J289" s="68" t="n">
        <v>0.3041095890410959</v>
      </c>
    </row>
    <row r="290">
      <c r="A290" s="16" t="inlineStr">
        <is>
          <t>ÖZL. AVŞ.</t>
        </is>
      </c>
      <c r="B290" s="16" t="inlineStr">
        <is>
          <t>ÖZLÜCE</t>
        </is>
      </c>
      <c r="C290" s="16" t="inlineStr">
        <is>
          <t>KÜLTÜR</t>
        </is>
      </c>
      <c r="D290" s="16" t="inlineStr">
        <is>
          <t>SATIŞ DANIŞMANI</t>
        </is>
      </c>
      <c r="E290" s="16" t="inlineStr">
        <is>
          <t>KADRO</t>
        </is>
      </c>
      <c r="F290" s="16" t="inlineStr">
        <is>
          <t>24.06.2026</t>
        </is>
      </c>
      <c r="G290" s="16" t="inlineStr"/>
      <c r="H290" s="67" t="inlineStr"/>
      <c r="I290" s="67" t="inlineStr">
        <is>
          <t>✓</t>
        </is>
      </c>
      <c r="J290" s="68" t="n">
        <v>0.1863013698630137</v>
      </c>
    </row>
    <row r="291">
      <c r="A291" s="16" t="inlineStr">
        <is>
          <t>GÖR. YEM.</t>
        </is>
      </c>
      <c r="B291" s="16" t="inlineStr">
        <is>
          <t>ÖZLÜCE</t>
        </is>
      </c>
      <c r="C291" s="16" t="inlineStr">
        <is>
          <t>MAĞAZA</t>
        </is>
      </c>
      <c r="D291" s="16" t="inlineStr">
        <is>
          <t>MAĞAZA MÜDÜR YRD.</t>
        </is>
      </c>
      <c r="E291" s="16" t="inlineStr">
        <is>
          <t>KADRO</t>
        </is>
      </c>
      <c r="F291" s="16" t="inlineStr">
        <is>
          <t>11.05.2020</t>
        </is>
      </c>
      <c r="G291" s="16" t="inlineStr">
        <is>
          <t>11.03.2026</t>
        </is>
      </c>
      <c r="H291" s="67" t="inlineStr">
        <is>
          <t>✓</t>
        </is>
      </c>
      <c r="I291" s="67" t="inlineStr"/>
      <c r="J291" s="68" t="n">
        <v>5.835616438356165</v>
      </c>
    </row>
    <row r="292">
      <c r="A292" s="16" t="inlineStr">
        <is>
          <t>SIR. YİĞ.</t>
        </is>
      </c>
      <c r="B292" s="16" t="inlineStr">
        <is>
          <t>ÖZLÜCE</t>
        </is>
      </c>
      <c r="C292" s="16" t="inlineStr">
        <is>
          <t>MAĞAZA</t>
        </is>
      </c>
      <c r="D292" s="16" t="inlineStr">
        <is>
          <t>MAĞAZA MÜDÜR YRD.</t>
        </is>
      </c>
      <c r="E292" s="16" t="inlineStr">
        <is>
          <t>KADRO</t>
        </is>
      </c>
      <c r="F292" s="16" t="inlineStr">
        <is>
          <t>09.02.2021</t>
        </is>
      </c>
      <c r="G292" s="16" t="inlineStr"/>
      <c r="H292" s="67" t="inlineStr">
        <is>
          <t>✓</t>
        </is>
      </c>
      <c r="I292" s="67" t="inlineStr">
        <is>
          <t>✓</t>
        </is>
      </c>
      <c r="J292" s="68" t="n">
        <v>5.558904109589041</v>
      </c>
    </row>
    <row r="293">
      <c r="A293" s="16" t="inlineStr">
        <is>
          <t>ABD. UĞU.</t>
        </is>
      </c>
      <c r="B293" s="16" t="inlineStr">
        <is>
          <t>ÖZLÜCE</t>
        </is>
      </c>
      <c r="C293" s="16" t="inlineStr">
        <is>
          <t>MAĞAZA</t>
        </is>
      </c>
      <c r="D293" s="16" t="inlineStr">
        <is>
          <t>MAĞAZA MÜDÜRÜ</t>
        </is>
      </c>
      <c r="E293" s="16" t="inlineStr">
        <is>
          <t>KADRO</t>
        </is>
      </c>
      <c r="F293" s="16" t="inlineStr">
        <is>
          <t>09.03.2023</t>
        </is>
      </c>
      <c r="G293" s="16" t="inlineStr"/>
      <c r="H293" s="67" t="inlineStr">
        <is>
          <t>✓</t>
        </is>
      </c>
      <c r="I293" s="67" t="inlineStr">
        <is>
          <t>✓</t>
        </is>
      </c>
      <c r="J293" s="68" t="n">
        <v>3.482191780821918</v>
      </c>
    </row>
    <row r="294">
      <c r="A294" s="16" t="inlineStr">
        <is>
          <t>AYD. ÖZC.</t>
        </is>
      </c>
      <c r="B294" s="16" t="inlineStr">
        <is>
          <t>ÖZLÜCE</t>
        </is>
      </c>
      <c r="C294" s="16" t="inlineStr">
        <is>
          <t>MAĞAZA</t>
        </is>
      </c>
      <c r="D294" s="16" t="inlineStr">
        <is>
          <t>MAĞAZA MÜDÜR YRD.</t>
        </is>
      </c>
      <c r="E294" s="16" t="inlineStr">
        <is>
          <t>KADRO</t>
        </is>
      </c>
      <c r="F294" s="16" t="inlineStr">
        <is>
          <t>18.08.2026</t>
        </is>
      </c>
      <c r="G294" s="16" t="inlineStr"/>
      <c r="H294" s="67" t="inlineStr"/>
      <c r="I294" s="67" t="inlineStr">
        <is>
          <t>✓</t>
        </is>
      </c>
      <c r="J294" s="68" t="n">
        <v>0.03561643835616438</v>
      </c>
    </row>
    <row r="295">
      <c r="A295" s="16" t="inlineStr">
        <is>
          <t>ERC. ULU.</t>
        </is>
      </c>
      <c r="B295" s="16" t="inlineStr">
        <is>
          <t>ÖZLÜCE</t>
        </is>
      </c>
      <c r="C295" s="16" t="inlineStr">
        <is>
          <t>MAL KABUL</t>
        </is>
      </c>
      <c r="D295" s="16" t="inlineStr">
        <is>
          <t>MAL KABUL PERSONELİ</t>
        </is>
      </c>
      <c r="E295" s="16" t="inlineStr">
        <is>
          <t>KADRO</t>
        </is>
      </c>
      <c r="F295" s="16" t="inlineStr">
        <is>
          <t>01.08.2023</t>
        </is>
      </c>
      <c r="G295" s="16" t="inlineStr"/>
      <c r="H295" s="67" t="inlineStr">
        <is>
          <t>✓</t>
        </is>
      </c>
      <c r="I295" s="67" t="inlineStr">
        <is>
          <t>✓</t>
        </is>
      </c>
      <c r="J295" s="68" t="n">
        <v>3.084931506849315</v>
      </c>
    </row>
    <row r="296">
      <c r="A296" s="16" t="inlineStr">
        <is>
          <t>MUS. ÖZD.</t>
        </is>
      </c>
      <c r="B296" s="16" t="inlineStr">
        <is>
          <t>ÖZLÜCE</t>
        </is>
      </c>
      <c r="C296" s="16" t="inlineStr">
        <is>
          <t>MAL KABUL</t>
        </is>
      </c>
      <c r="D296" s="16" t="inlineStr">
        <is>
          <t>MAL KABUL PERSONELİ</t>
        </is>
      </c>
      <c r="E296" s="16" t="inlineStr">
        <is>
          <t>KADRO</t>
        </is>
      </c>
      <c r="F296" s="16" t="inlineStr">
        <is>
          <t>01.08.2024</t>
        </is>
      </c>
      <c r="G296" s="16" t="inlineStr"/>
      <c r="H296" s="67" t="inlineStr">
        <is>
          <t>✓</t>
        </is>
      </c>
      <c r="I296" s="67" t="inlineStr">
        <is>
          <t>✓</t>
        </is>
      </c>
      <c r="J296" s="68" t="n">
        <v>2.082191780821918</v>
      </c>
    </row>
    <row r="297">
      <c r="A297" s="16" t="inlineStr">
        <is>
          <t>EMİ. YIL.</t>
        </is>
      </c>
      <c r="B297" s="16" t="inlineStr">
        <is>
          <t>ÖZLÜCE</t>
        </is>
      </c>
      <c r="C297" s="16" t="inlineStr">
        <is>
          <t>OYUNCAK</t>
        </is>
      </c>
      <c r="D297" s="16" t="inlineStr">
        <is>
          <t>REYON ŞEFİ</t>
        </is>
      </c>
      <c r="E297" s="16" t="inlineStr">
        <is>
          <t>KADRO</t>
        </is>
      </c>
      <c r="F297" s="16" t="inlineStr">
        <is>
          <t>13.03.2024</t>
        </is>
      </c>
      <c r="G297" s="16" t="inlineStr">
        <is>
          <t>06.05.2026</t>
        </is>
      </c>
      <c r="H297" s="67" t="inlineStr">
        <is>
          <t>✓</t>
        </is>
      </c>
      <c r="I297" s="67" t="inlineStr"/>
      <c r="J297" s="68" t="n">
        <v>2.147945205479452</v>
      </c>
    </row>
    <row r="298">
      <c r="A298" s="16" t="inlineStr">
        <is>
          <t>BÜŞ. KÜÇ. URA.</t>
        </is>
      </c>
      <c r="B298" s="16" t="inlineStr">
        <is>
          <t>ÖZLÜCE</t>
        </is>
      </c>
      <c r="C298" s="16" t="inlineStr">
        <is>
          <t>OYUNCAK</t>
        </is>
      </c>
      <c r="D298" s="16" t="inlineStr">
        <is>
          <t>SATIŞ DANIŞMANI</t>
        </is>
      </c>
      <c r="E298" s="16" t="inlineStr">
        <is>
          <t>KADRO</t>
        </is>
      </c>
      <c r="F298" s="16" t="inlineStr">
        <is>
          <t>16.06.2025</t>
        </is>
      </c>
      <c r="G298" s="16" t="inlineStr">
        <is>
          <t>01.11.2025</t>
        </is>
      </c>
      <c r="H298" s="67" t="inlineStr">
        <is>
          <t>✓</t>
        </is>
      </c>
      <c r="I298" s="67" t="inlineStr"/>
      <c r="J298" s="68" t="n">
        <v>0.3780821917808219</v>
      </c>
    </row>
    <row r="299">
      <c r="A299" s="16" t="inlineStr">
        <is>
          <t>BER. ÖZL.</t>
        </is>
      </c>
      <c r="B299" s="16" t="inlineStr">
        <is>
          <t>ÖZLÜCE</t>
        </is>
      </c>
      <c r="C299" s="16" t="inlineStr">
        <is>
          <t>OYUNCAK</t>
        </is>
      </c>
      <c r="D299" s="16" t="inlineStr">
        <is>
          <t>SATIŞ DANIŞMANI</t>
        </is>
      </c>
      <c r="E299" s="16" t="inlineStr">
        <is>
          <t>KADRO</t>
        </is>
      </c>
      <c r="F299" s="16" t="inlineStr">
        <is>
          <t>06.08.2025</t>
        </is>
      </c>
      <c r="G299" s="16" t="inlineStr">
        <is>
          <t>28.09.2025</t>
        </is>
      </c>
      <c r="H299" s="67" t="inlineStr">
        <is>
          <t>✓</t>
        </is>
      </c>
      <c r="I299" s="67" t="inlineStr"/>
      <c r="J299" s="68" t="n">
        <v>0.1452054794520548</v>
      </c>
    </row>
    <row r="300">
      <c r="A300" s="16" t="inlineStr">
        <is>
          <t>MEH. BAY.</t>
        </is>
      </c>
      <c r="B300" s="16" t="inlineStr">
        <is>
          <t>ÖZLÜCE</t>
        </is>
      </c>
      <c r="C300" s="16" t="inlineStr">
        <is>
          <t>OYUNCAK</t>
        </is>
      </c>
      <c r="D300" s="16" t="inlineStr">
        <is>
          <t>SATIŞ DANIŞMANI</t>
        </is>
      </c>
      <c r="E300" s="16" t="inlineStr">
        <is>
          <t>KADRO</t>
        </is>
      </c>
      <c r="F300" s="16" t="inlineStr">
        <is>
          <t>15.08.2025</t>
        </is>
      </c>
      <c r="G300" s="16" t="inlineStr"/>
      <c r="H300" s="67" t="inlineStr">
        <is>
          <t>✓</t>
        </is>
      </c>
      <c r="I300" s="67" t="inlineStr">
        <is>
          <t>✓</t>
        </is>
      </c>
      <c r="J300" s="68" t="n">
        <v>1.043835616438356</v>
      </c>
    </row>
    <row r="301">
      <c r="A301" s="16" t="inlineStr">
        <is>
          <t>TUN. ÖZS.</t>
        </is>
      </c>
      <c r="B301" s="16" t="inlineStr">
        <is>
          <t>ÖZLÜCE</t>
        </is>
      </c>
      <c r="C301" s="16" t="inlineStr">
        <is>
          <t>OYUNCAK</t>
        </is>
      </c>
      <c r="D301" s="16" t="inlineStr">
        <is>
          <t>SATIŞ DANIŞMANI</t>
        </is>
      </c>
      <c r="E301" s="16" t="inlineStr">
        <is>
          <t>KADRO</t>
        </is>
      </c>
      <c r="F301" s="16" t="inlineStr">
        <is>
          <t>11.11.2025</t>
        </is>
      </c>
      <c r="G301" s="16" t="inlineStr"/>
      <c r="H301" s="67" t="inlineStr"/>
      <c r="I301" s="67" t="inlineStr">
        <is>
          <t>✓</t>
        </is>
      </c>
      <c r="J301" s="68" t="n">
        <v>0.8027397260273973</v>
      </c>
    </row>
    <row r="302">
      <c r="A302" s="16" t="inlineStr">
        <is>
          <t>CEN. HOR.</t>
        </is>
      </c>
      <c r="B302" s="16" t="inlineStr">
        <is>
          <t>ÖZLÜCE</t>
        </is>
      </c>
      <c r="C302" s="16" t="inlineStr">
        <is>
          <t>OYUNCAK</t>
        </is>
      </c>
      <c r="D302" s="16" t="inlineStr">
        <is>
          <t>SATIŞ DANIŞMANI</t>
        </is>
      </c>
      <c r="E302" s="16" t="inlineStr">
        <is>
          <t>KADRO</t>
        </is>
      </c>
      <c r="F302" s="16" t="inlineStr">
        <is>
          <t>03.04.2026</t>
        </is>
      </c>
      <c r="G302" s="16" t="inlineStr"/>
      <c r="H302" s="67" t="inlineStr"/>
      <c r="I302" s="67" t="inlineStr">
        <is>
          <t>✓</t>
        </is>
      </c>
      <c r="J302" s="68" t="n">
        <v>0.410958904109589</v>
      </c>
    </row>
    <row r="303">
      <c r="A303" s="16" t="inlineStr">
        <is>
          <t>NUR. EYU.</t>
        </is>
      </c>
      <c r="B303" s="16" t="inlineStr">
        <is>
          <t>ÖZLÜCE</t>
        </is>
      </c>
      <c r="C303" s="16" t="inlineStr">
        <is>
          <t>OYUNCAK</t>
        </is>
      </c>
      <c r="D303" s="16" t="inlineStr">
        <is>
          <t>SATIŞ DANIŞMANI</t>
        </is>
      </c>
      <c r="E303" s="16" t="inlineStr">
        <is>
          <t>KADRO</t>
        </is>
      </c>
      <c r="F303" s="16" t="inlineStr">
        <is>
          <t>10.07.2026</t>
        </is>
      </c>
      <c r="G303" s="16" t="inlineStr"/>
      <c r="H303" s="67" t="inlineStr"/>
      <c r="I303" s="67" t="inlineStr">
        <is>
          <t>✓</t>
        </is>
      </c>
      <c r="J303" s="68" t="n">
        <v>0.1424657534246575</v>
      </c>
    </row>
    <row r="304">
      <c r="A304" s="16" t="inlineStr">
        <is>
          <t>MEH. KAY.</t>
        </is>
      </c>
      <c r="B304" s="16" t="inlineStr">
        <is>
          <t>ÖZLÜCE</t>
        </is>
      </c>
      <c r="C304" s="16" t="inlineStr">
        <is>
          <t>YARDIMCI KİTAP</t>
        </is>
      </c>
      <c r="D304" s="16" t="inlineStr">
        <is>
          <t>REYON ŞEFİ</t>
        </is>
      </c>
      <c r="E304" s="16" t="inlineStr">
        <is>
          <t>KADRO</t>
        </is>
      </c>
      <c r="F304" s="16" t="inlineStr">
        <is>
          <t>21.09.2021</t>
        </is>
      </c>
      <c r="G304" s="16" t="inlineStr"/>
      <c r="H304" s="67" t="inlineStr">
        <is>
          <t>✓</t>
        </is>
      </c>
      <c r="I304" s="67" t="inlineStr">
        <is>
          <t>✓</t>
        </is>
      </c>
      <c r="J304" s="68" t="n">
        <v>4.945205479452055</v>
      </c>
    </row>
    <row r="305">
      <c r="A305" s="16" t="inlineStr">
        <is>
          <t>NUM. DUR.</t>
        </is>
      </c>
      <c r="B305" s="16" t="inlineStr">
        <is>
          <t>ÖZLÜCE</t>
        </is>
      </c>
      <c r="C305" s="16" t="inlineStr">
        <is>
          <t>YARDIMCI KİTAP</t>
        </is>
      </c>
      <c r="D305" s="16" t="inlineStr">
        <is>
          <t>SATIŞ DANIŞMANI</t>
        </is>
      </c>
      <c r="E305" s="16" t="inlineStr">
        <is>
          <t>KADRO</t>
        </is>
      </c>
      <c r="F305" s="16" t="inlineStr">
        <is>
          <t>01.10.2024</t>
        </is>
      </c>
      <c r="G305" s="16" t="inlineStr">
        <is>
          <t>30.11.2025</t>
        </is>
      </c>
      <c r="H305" s="67" t="inlineStr">
        <is>
          <t>✓</t>
        </is>
      </c>
      <c r="I305" s="67" t="inlineStr"/>
      <c r="J305" s="68" t="n">
        <v>1.164383561643836</v>
      </c>
    </row>
    <row r="306">
      <c r="A306" s="69" t="inlineStr">
        <is>
          <t>DAM. DAĞ.</t>
        </is>
      </c>
      <c r="B306" s="69" t="inlineStr">
        <is>
          <t>ÖZLÜCE</t>
        </is>
      </c>
      <c r="C306" s="69" t="inlineStr">
        <is>
          <t>YARDIMCI KİTAP</t>
        </is>
      </c>
      <c r="D306" s="69" t="inlineStr">
        <is>
          <t>SATIŞ DANIŞMANI</t>
        </is>
      </c>
      <c r="E306" s="69" t="inlineStr">
        <is>
          <t>SEZONLUK</t>
        </is>
      </c>
      <c r="F306" s="69" t="inlineStr">
        <is>
          <t>02.07.2025</t>
        </is>
      </c>
      <c r="G306" s="69" t="inlineStr">
        <is>
          <t>23.09.2025</t>
        </is>
      </c>
      <c r="H306" s="70" t="inlineStr">
        <is>
          <t>✓</t>
        </is>
      </c>
      <c r="I306" s="70" t="inlineStr"/>
      <c r="J306" s="71" t="n">
        <v>0.2273972602739726</v>
      </c>
    </row>
    <row r="307">
      <c r="A307" s="69" t="inlineStr">
        <is>
          <t>ABD. ŞİM.</t>
        </is>
      </c>
      <c r="B307" s="69" t="inlineStr">
        <is>
          <t>ÖZLÜCE</t>
        </is>
      </c>
      <c r="C307" s="69" t="inlineStr">
        <is>
          <t>YARDIMCI KİTAP</t>
        </is>
      </c>
      <c r="D307" s="69" t="inlineStr">
        <is>
          <t>SATIŞ DANIŞMANI</t>
        </is>
      </c>
      <c r="E307" s="69" t="inlineStr">
        <is>
          <t>SEZONLUK</t>
        </is>
      </c>
      <c r="F307" s="69" t="inlineStr">
        <is>
          <t>28.07.2025</t>
        </is>
      </c>
      <c r="G307" s="69" t="inlineStr">
        <is>
          <t>02.10.2025</t>
        </is>
      </c>
      <c r="H307" s="70" t="inlineStr">
        <is>
          <t>✓</t>
        </is>
      </c>
      <c r="I307" s="70" t="inlineStr"/>
      <c r="J307" s="71" t="n">
        <v>0.1808219178082192</v>
      </c>
    </row>
    <row r="308">
      <c r="A308" s="69" t="inlineStr">
        <is>
          <t>ZEY. YIL.</t>
        </is>
      </c>
      <c r="B308" s="69" t="inlineStr">
        <is>
          <t>ÖZLÜCE</t>
        </is>
      </c>
      <c r="C308" s="69" t="inlineStr">
        <is>
          <t>YARDIMCI KİTAP</t>
        </is>
      </c>
      <c r="D308" s="69" t="inlineStr">
        <is>
          <t>SATIŞ DANIŞMANI</t>
        </is>
      </c>
      <c r="E308" s="69" t="inlineStr">
        <is>
          <t>SEZONLUK</t>
        </is>
      </c>
      <c r="F308" s="69" t="inlineStr">
        <is>
          <t>15.08.2025</t>
        </is>
      </c>
      <c r="G308" s="69" t="inlineStr">
        <is>
          <t>02.11.2025</t>
        </is>
      </c>
      <c r="H308" s="70" t="inlineStr">
        <is>
          <t>✓</t>
        </is>
      </c>
      <c r="I308" s="70" t="inlineStr"/>
      <c r="J308" s="71" t="n">
        <v>0.2164383561643836</v>
      </c>
    </row>
    <row r="309">
      <c r="A309" s="69" t="inlineStr">
        <is>
          <t>ALA. KAS.</t>
        </is>
      </c>
      <c r="B309" s="69" t="inlineStr">
        <is>
          <t>ÖZLÜCE</t>
        </is>
      </c>
      <c r="C309" s="69" t="inlineStr">
        <is>
          <t>YARDIMCI KİTAP</t>
        </is>
      </c>
      <c r="D309" s="69" t="inlineStr">
        <is>
          <t>SATIŞ DANIŞMANI</t>
        </is>
      </c>
      <c r="E309" s="69" t="inlineStr">
        <is>
          <t>SEZONLUK</t>
        </is>
      </c>
      <c r="F309" s="69" t="inlineStr">
        <is>
          <t>15.08.2025</t>
        </is>
      </c>
      <c r="G309" s="69" t="inlineStr">
        <is>
          <t>30.11.2025</t>
        </is>
      </c>
      <c r="H309" s="70" t="inlineStr">
        <is>
          <t>✓</t>
        </is>
      </c>
      <c r="I309" s="70" t="inlineStr"/>
      <c r="J309" s="71" t="n">
        <v>0.2931506849315069</v>
      </c>
    </row>
    <row r="310">
      <c r="A310" s="69" t="inlineStr">
        <is>
          <t>UYG. ERE. EME.</t>
        </is>
      </c>
      <c r="B310" s="69" t="inlineStr">
        <is>
          <t>ÖZLÜCE</t>
        </is>
      </c>
      <c r="C310" s="69" t="inlineStr">
        <is>
          <t>YARDIMCI KİTAP</t>
        </is>
      </c>
      <c r="D310" s="69" t="inlineStr">
        <is>
          <t>SATIŞ DANIŞMANI</t>
        </is>
      </c>
      <c r="E310" s="69" t="inlineStr">
        <is>
          <t>SEZONLUK</t>
        </is>
      </c>
      <c r="F310" s="69" t="inlineStr">
        <is>
          <t>29.08.2025</t>
        </is>
      </c>
      <c r="G310" s="69" t="inlineStr">
        <is>
          <t>30.09.2025</t>
        </is>
      </c>
      <c r="H310" s="70" t="inlineStr">
        <is>
          <t>✓</t>
        </is>
      </c>
      <c r="I310" s="70" t="inlineStr"/>
      <c r="J310" s="71" t="n">
        <v>0.08767123287671233</v>
      </c>
    </row>
    <row r="311">
      <c r="A311" s="16" t="inlineStr">
        <is>
          <t>RAM. EMR. ALT.</t>
        </is>
      </c>
      <c r="B311" s="16" t="inlineStr">
        <is>
          <t>ÖZLÜCE</t>
        </is>
      </c>
      <c r="C311" s="16" t="inlineStr">
        <is>
          <t>YARDIMCI KİTAP</t>
        </is>
      </c>
      <c r="D311" s="16" t="inlineStr">
        <is>
          <t>SATIŞ DANIŞMANI</t>
        </is>
      </c>
      <c r="E311" s="16" t="inlineStr">
        <is>
          <t>KADRO</t>
        </is>
      </c>
      <c r="F311" s="16" t="inlineStr">
        <is>
          <t>25.11.2025</t>
        </is>
      </c>
      <c r="G311" s="16" t="inlineStr"/>
      <c r="H311" s="67" t="inlineStr"/>
      <c r="I311" s="67" t="inlineStr">
        <is>
          <t>✓</t>
        </is>
      </c>
      <c r="J311" s="68" t="n">
        <v>0.7643835616438356</v>
      </c>
    </row>
    <row r="312">
      <c r="A312" s="16" t="inlineStr">
        <is>
          <t>ÖZG. TUA. YAM.</t>
        </is>
      </c>
      <c r="B312" s="16" t="inlineStr">
        <is>
          <t>ÖZLÜCE</t>
        </is>
      </c>
      <c r="C312" s="16" t="inlineStr">
        <is>
          <t>YARDIMCI KİTAP</t>
        </is>
      </c>
      <c r="D312" s="16" t="inlineStr">
        <is>
          <t>SATIŞ DANIŞMANI</t>
        </is>
      </c>
      <c r="E312" s="16" t="inlineStr">
        <is>
          <t>KADRO</t>
        </is>
      </c>
      <c r="F312" s="16" t="inlineStr">
        <is>
          <t>06.02.2026</t>
        </is>
      </c>
      <c r="G312" s="16" t="inlineStr"/>
      <c r="H312" s="67" t="inlineStr"/>
      <c r="I312" s="67" t="inlineStr">
        <is>
          <t>✓</t>
        </is>
      </c>
      <c r="J312" s="68" t="n">
        <v>0.5643835616438356</v>
      </c>
    </row>
    <row r="313">
      <c r="A313" s="16" t="inlineStr">
        <is>
          <t>HİL. UST.</t>
        </is>
      </c>
      <c r="B313" s="16" t="inlineStr">
        <is>
          <t>ÖZLÜCE</t>
        </is>
      </c>
      <c r="C313" s="16" t="inlineStr">
        <is>
          <t>YARDIMCI KİTAP</t>
        </is>
      </c>
      <c r="D313" s="16" t="inlineStr">
        <is>
          <t>SATIŞ DANIŞMANI</t>
        </is>
      </c>
      <c r="E313" s="16" t="inlineStr">
        <is>
          <t>KADRO</t>
        </is>
      </c>
      <c r="F313" s="16" t="inlineStr">
        <is>
          <t>19.02.2026</t>
        </is>
      </c>
      <c r="G313" s="16" t="inlineStr"/>
      <c r="H313" s="67" t="inlineStr"/>
      <c r="I313" s="67" t="inlineStr">
        <is>
          <t>✓</t>
        </is>
      </c>
      <c r="J313" s="68" t="n">
        <v>0.5287671232876713</v>
      </c>
    </row>
    <row r="314">
      <c r="A314" s="69" t="inlineStr">
        <is>
          <t>İBR. AKB.</t>
        </is>
      </c>
      <c r="B314" s="69" t="inlineStr">
        <is>
          <t>ÖZLÜCE</t>
        </is>
      </c>
      <c r="C314" s="69" t="inlineStr">
        <is>
          <t>YARDIMCI KİTAP</t>
        </is>
      </c>
      <c r="D314" s="69" t="inlineStr">
        <is>
          <t>SATIŞ DANIŞMANI</t>
        </is>
      </c>
      <c r="E314" s="69" t="inlineStr">
        <is>
          <t>SEZONLUK</t>
        </is>
      </c>
      <c r="F314" s="69" t="inlineStr">
        <is>
          <t>06.08.2026</t>
        </is>
      </c>
      <c r="G314" s="69" t="inlineStr"/>
      <c r="H314" s="70" t="inlineStr"/>
      <c r="I314" s="70" t="inlineStr">
        <is>
          <t>✓</t>
        </is>
      </c>
      <c r="J314" s="71" t="n">
        <v>0.0684931506849315</v>
      </c>
    </row>
    <row r="315">
      <c r="A315" s="69" t="inlineStr">
        <is>
          <t>İSA ERS.</t>
        </is>
      </c>
      <c r="B315" s="69" t="inlineStr">
        <is>
          <t>ÖZLÜCE</t>
        </is>
      </c>
      <c r="C315" s="69" t="inlineStr">
        <is>
          <t>YARDIMCI KİTAP</t>
        </is>
      </c>
      <c r="D315" s="69" t="inlineStr">
        <is>
          <t>SATIŞ DANIŞMANI</t>
        </is>
      </c>
      <c r="E315" s="69" t="inlineStr">
        <is>
          <t>SEZONLUK</t>
        </is>
      </c>
      <c r="F315" s="69" t="inlineStr">
        <is>
          <t>28.08.2026</t>
        </is>
      </c>
      <c r="G315" s="69" t="inlineStr"/>
      <c r="H315" s="70" t="inlineStr"/>
      <c r="I315" s="70" t="inlineStr">
        <is>
          <t>✓</t>
        </is>
      </c>
      <c r="J315" s="71" t="n">
        <v>0.00821917808219178</v>
      </c>
    </row>
    <row r="316">
      <c r="A316" s="69" t="inlineStr">
        <is>
          <t>EYL. ÖZK.</t>
        </is>
      </c>
      <c r="B316" s="69" t="inlineStr">
        <is>
          <t>ÖZLÜCE</t>
        </is>
      </c>
      <c r="C316" s="69" t="inlineStr">
        <is>
          <t>YARDIMCI KİTAP</t>
        </is>
      </c>
      <c r="D316" s="69" t="inlineStr">
        <is>
          <t>SATIŞ DANIŞMANI</t>
        </is>
      </c>
      <c r="E316" s="69" t="inlineStr">
        <is>
          <t>SEZONLUK</t>
        </is>
      </c>
      <c r="F316" s="69" t="inlineStr">
        <is>
          <t>28.08.2026</t>
        </is>
      </c>
      <c r="G316" s="69" t="inlineStr"/>
      <c r="H316" s="70" t="inlineStr"/>
      <c r="I316" s="70" t="inlineStr">
        <is>
          <t>✓</t>
        </is>
      </c>
      <c r="J316" s="71" t="n">
        <v>0.00821917808219178</v>
      </c>
    </row>
    <row r="317">
      <c r="A317" s="69" t="inlineStr">
        <is>
          <t>ALT. DİL.</t>
        </is>
      </c>
      <c r="B317" s="69" t="inlineStr">
        <is>
          <t>ÖZLÜCE</t>
        </is>
      </c>
      <c r="C317" s="69" t="inlineStr">
        <is>
          <t>YARDIMCI KİTAP</t>
        </is>
      </c>
      <c r="D317" s="69" t="inlineStr">
        <is>
          <t>SATIŞ DANIŞMANI</t>
        </is>
      </c>
      <c r="E317" s="69" t="inlineStr">
        <is>
          <t>SEZONLUK</t>
        </is>
      </c>
      <c r="F317" s="69" t="inlineStr">
        <is>
          <t>28.08.2026</t>
        </is>
      </c>
      <c r="G317" s="69" t="inlineStr"/>
      <c r="H317" s="70" t="inlineStr"/>
      <c r="I317" s="70" t="inlineStr">
        <is>
          <t>✓</t>
        </is>
      </c>
      <c r="J317" s="71" t="n">
        <v>0.00821917808219178</v>
      </c>
    </row>
    <row r="318">
      <c r="A318" s="16" t="inlineStr">
        <is>
          <t>AYH. TOR.</t>
        </is>
      </c>
      <c r="B318" s="16" t="inlineStr">
        <is>
          <t>ŞURA</t>
        </is>
      </c>
      <c r="C318" s="16" t="inlineStr">
        <is>
          <t>BİLGİ İŞLEM</t>
        </is>
      </c>
      <c r="D318" s="16" t="inlineStr">
        <is>
          <t>BİLGİ İŞLEM</t>
        </is>
      </c>
      <c r="E318" s="16" t="inlineStr">
        <is>
          <t>KADRO</t>
        </is>
      </c>
      <c r="F318" s="16" t="inlineStr">
        <is>
          <t>01.08.2025</t>
        </is>
      </c>
      <c r="G318" s="16" t="inlineStr">
        <is>
          <t>28.09.2025</t>
        </is>
      </c>
      <c r="H318" s="67" t="inlineStr">
        <is>
          <t>✓</t>
        </is>
      </c>
      <c r="I318" s="67" t="inlineStr"/>
      <c r="J318" s="68" t="n">
        <v>0.1589041095890411</v>
      </c>
    </row>
    <row r="319">
      <c r="A319" s="16" t="inlineStr">
        <is>
          <t>SEM. DUR.</t>
        </is>
      </c>
      <c r="B319" s="16" t="inlineStr">
        <is>
          <t>ŞURA</t>
        </is>
      </c>
      <c r="C319" s="16" t="inlineStr">
        <is>
          <t>ÖN MUHASEBE</t>
        </is>
      </c>
      <c r="D319" s="16" t="inlineStr">
        <is>
          <t>ÖN MUHASEBE</t>
        </is>
      </c>
      <c r="E319" s="16" t="inlineStr">
        <is>
          <t>KADRO</t>
        </is>
      </c>
      <c r="F319" s="16" t="inlineStr">
        <is>
          <t>18.07.2025</t>
        </is>
      </c>
      <c r="G319" s="16" t="inlineStr">
        <is>
          <t>31.10.2025</t>
        </is>
      </c>
      <c r="H319" s="67" t="inlineStr">
        <is>
          <t>✓</t>
        </is>
      </c>
      <c r="I319" s="67" t="inlineStr"/>
      <c r="J319" s="68" t="n">
        <v>0.2876712328767123</v>
      </c>
    </row>
    <row r="320">
      <c r="A320" s="16" t="inlineStr">
        <is>
          <t>CİH. BİN.</t>
        </is>
      </c>
      <c r="B320" s="16" t="inlineStr">
        <is>
          <t>ŞURA</t>
        </is>
      </c>
      <c r="C320" s="16" t="inlineStr">
        <is>
          <t>ŞURA</t>
        </is>
      </c>
      <c r="D320" s="16" t="inlineStr">
        <is>
          <t>MAĞAZA MÜDÜRÜ</t>
        </is>
      </c>
      <c r="E320" s="16" t="inlineStr">
        <is>
          <t>KADRO</t>
        </is>
      </c>
      <c r="F320" s="16" t="inlineStr">
        <is>
          <t>01.07.2025</t>
        </is>
      </c>
      <c r="G320" s="16" t="inlineStr"/>
      <c r="H320" s="67" t="inlineStr">
        <is>
          <t>✓</t>
        </is>
      </c>
      <c r="I320" s="67" t="inlineStr">
        <is>
          <t>✓</t>
        </is>
      </c>
      <c r="J320" s="68" t="n">
        <v>1.167123287671233</v>
      </c>
    </row>
    <row r="321">
      <c r="A321" s="16" t="inlineStr">
        <is>
          <t>SİB. ÇAV.</t>
        </is>
      </c>
      <c r="B321" s="16" t="inlineStr">
        <is>
          <t>ŞURA</t>
        </is>
      </c>
      <c r="C321" s="16" t="inlineStr">
        <is>
          <t>ŞURA</t>
        </is>
      </c>
      <c r="D321" s="16" t="inlineStr">
        <is>
          <t>ÖN MUHASEBE</t>
        </is>
      </c>
      <c r="E321" s="16" t="inlineStr">
        <is>
          <t>KADRO</t>
        </is>
      </c>
      <c r="F321" s="16" t="inlineStr">
        <is>
          <t>01.06.2026</t>
        </is>
      </c>
      <c r="G321" s="16" t="inlineStr"/>
      <c r="H321" s="67" t="inlineStr"/>
      <c r="I321" s="67" t="inlineStr">
        <is>
          <t>✓</t>
        </is>
      </c>
      <c r="J321" s="68" t="n">
        <v>0.2493150684931507</v>
      </c>
    </row>
    <row r="322">
      <c r="A322" s="16" t="inlineStr">
        <is>
          <t>MER. ÇAM.</t>
        </is>
      </c>
      <c r="B322" s="16" t="inlineStr">
        <is>
          <t>ŞURA</t>
        </is>
      </c>
      <c r="C322" s="16" t="inlineStr">
        <is>
          <t>ŞURA</t>
        </is>
      </c>
      <c r="D322" s="16" t="inlineStr">
        <is>
          <t>ÖLÇME VE DEĞERLENDİRME UZMANI</t>
        </is>
      </c>
      <c r="E322" s="16" t="inlineStr">
        <is>
          <t>KADRO</t>
        </is>
      </c>
      <c r="F322" s="16" t="inlineStr">
        <is>
          <t>16.07.2026</t>
        </is>
      </c>
      <c r="G322" s="16" t="inlineStr"/>
      <c r="H322" s="67" t="inlineStr"/>
      <c r="I322" s="67" t="inlineStr">
        <is>
          <t>✓</t>
        </is>
      </c>
      <c r="J322" s="68" t="n">
        <v>0.126027397260274</v>
      </c>
    </row>
    <row r="323">
      <c r="A323" s="16" t="inlineStr">
        <is>
          <t>EMR. PAS.</t>
        </is>
      </c>
      <c r="B323" s="16" t="inlineStr">
        <is>
          <t>ŞURA</t>
        </is>
      </c>
      <c r="C323" s="16" t="inlineStr">
        <is>
          <t>YARDIMCI KİTAP</t>
        </is>
      </c>
      <c r="D323" s="16" t="inlineStr">
        <is>
          <t>SATIŞ DANIŞMANI</t>
        </is>
      </c>
      <c r="E323" s="16" t="inlineStr">
        <is>
          <t>KADRO</t>
        </is>
      </c>
      <c r="F323" s="16" t="inlineStr">
        <is>
          <t>21.09.2016</t>
        </is>
      </c>
      <c r="G323" s="16" t="inlineStr"/>
      <c r="H323" s="67" t="inlineStr">
        <is>
          <t>✓</t>
        </is>
      </c>
      <c r="I323" s="67" t="inlineStr">
        <is>
          <t>✓</t>
        </is>
      </c>
      <c r="J323" s="68" t="n">
        <v>9.947945205479453</v>
      </c>
    </row>
    <row r="324">
      <c r="A324" s="16" t="inlineStr">
        <is>
          <t>SER. BER. AKT.</t>
        </is>
      </c>
      <c r="B324" s="16" t="inlineStr">
        <is>
          <t>ŞURA</t>
        </is>
      </c>
      <c r="C324" s="16" t="inlineStr">
        <is>
          <t>YARDIMCI KİTAP</t>
        </is>
      </c>
      <c r="D324" s="16" t="inlineStr">
        <is>
          <t>SATIŞ DANIŞMANI</t>
        </is>
      </c>
      <c r="E324" s="16" t="inlineStr">
        <is>
          <t>KADRO</t>
        </is>
      </c>
      <c r="F324" s="16" t="inlineStr">
        <is>
          <t>20.09.2017</t>
        </is>
      </c>
      <c r="G324" s="16" t="inlineStr"/>
      <c r="H324" s="67" t="inlineStr">
        <is>
          <t>✓</t>
        </is>
      </c>
      <c r="I324" s="67" t="inlineStr">
        <is>
          <t>✓</t>
        </is>
      </c>
      <c r="J324" s="68" t="n">
        <v>8.950684931506849</v>
      </c>
    </row>
    <row r="325">
      <c r="A325" s="16" t="inlineStr">
        <is>
          <t>AYK. CAN BOZ</t>
        </is>
      </c>
      <c r="B325" s="16" t="inlineStr">
        <is>
          <t>ŞURA</t>
        </is>
      </c>
      <c r="C325" s="16" t="inlineStr">
        <is>
          <t>YARDIMCI KİTAP</t>
        </is>
      </c>
      <c r="D325" s="16" t="inlineStr">
        <is>
          <t>SATIŞ DANIŞMANI</t>
        </is>
      </c>
      <c r="E325" s="16" t="inlineStr">
        <is>
          <t>KADRO</t>
        </is>
      </c>
      <c r="F325" s="16" t="inlineStr">
        <is>
          <t>03.11.2018</t>
        </is>
      </c>
      <c r="G325" s="16" t="inlineStr"/>
      <c r="H325" s="67" t="inlineStr">
        <is>
          <t>✓</t>
        </is>
      </c>
      <c r="I325" s="67" t="inlineStr">
        <is>
          <t>✓</t>
        </is>
      </c>
      <c r="J325" s="68" t="n">
        <v>7.83013698630137</v>
      </c>
    </row>
    <row r="326">
      <c r="A326" s="16" t="inlineStr">
        <is>
          <t>EMR. ÖZC.</t>
        </is>
      </c>
      <c r="B326" s="16" t="inlineStr">
        <is>
          <t>ŞURA</t>
        </is>
      </c>
      <c r="C326" s="16" t="inlineStr">
        <is>
          <t>YARDIMCI KİTAP</t>
        </is>
      </c>
      <c r="D326" s="16" t="inlineStr">
        <is>
          <t>MAĞAZA MÜDÜR YRD.</t>
        </is>
      </c>
      <c r="E326" s="16" t="inlineStr">
        <is>
          <t>KADRO</t>
        </is>
      </c>
      <c r="F326" s="16" t="inlineStr">
        <is>
          <t>01.04.2023</t>
        </is>
      </c>
      <c r="G326" s="16" t="inlineStr"/>
      <c r="H326" s="67" t="inlineStr">
        <is>
          <t>✓</t>
        </is>
      </c>
      <c r="I326" s="67" t="inlineStr">
        <is>
          <t>✓</t>
        </is>
      </c>
      <c r="J326" s="68" t="n">
        <v>3.419178082191781</v>
      </c>
    </row>
    <row r="327">
      <c r="A327" s="16" t="inlineStr">
        <is>
          <t>ADN. EKİ.</t>
        </is>
      </c>
      <c r="B327" s="16" t="inlineStr">
        <is>
          <t>ŞURA</t>
        </is>
      </c>
      <c r="C327" s="16" t="inlineStr">
        <is>
          <t>YARDIMCI KİTAP</t>
        </is>
      </c>
      <c r="D327" s="16" t="inlineStr">
        <is>
          <t>SATIŞ DANIŞMANI</t>
        </is>
      </c>
      <c r="E327" s="16" t="inlineStr">
        <is>
          <t>KADRO</t>
        </is>
      </c>
      <c r="F327" s="16" t="inlineStr">
        <is>
          <t>01.09.2023</t>
        </is>
      </c>
      <c r="G327" s="16" t="inlineStr"/>
      <c r="H327" s="67" t="inlineStr">
        <is>
          <t>✓</t>
        </is>
      </c>
      <c r="I327" s="67" t="inlineStr">
        <is>
          <t>✓</t>
        </is>
      </c>
      <c r="J327" s="68" t="n">
        <v>3</v>
      </c>
    </row>
    <row r="328">
      <c r="A328" s="16" t="inlineStr">
        <is>
          <t>MUR. ÖZD.</t>
        </is>
      </c>
      <c r="B328" s="16" t="inlineStr">
        <is>
          <t>ŞURA</t>
        </is>
      </c>
      <c r="C328" s="16" t="inlineStr">
        <is>
          <t>YARDIMCI KİTAP</t>
        </is>
      </c>
      <c r="D328" s="16" t="inlineStr">
        <is>
          <t>SATIŞ DANIŞMANI</t>
        </is>
      </c>
      <c r="E328" s="16" t="inlineStr">
        <is>
          <t>KADRO</t>
        </is>
      </c>
      <c r="F328" s="16" t="inlineStr">
        <is>
          <t>01.09.2023</t>
        </is>
      </c>
      <c r="G328" s="16" t="inlineStr"/>
      <c r="H328" s="67" t="inlineStr">
        <is>
          <t>✓</t>
        </is>
      </c>
      <c r="I328" s="67" t="inlineStr">
        <is>
          <t>✓</t>
        </is>
      </c>
      <c r="J328" s="68" t="n">
        <v>3</v>
      </c>
    </row>
    <row r="329">
      <c r="A329" s="16" t="inlineStr">
        <is>
          <t>EMR. GÜN.</t>
        </is>
      </c>
      <c r="B329" s="16" t="inlineStr">
        <is>
          <t>ŞURA</t>
        </is>
      </c>
      <c r="C329" s="16" t="inlineStr">
        <is>
          <t>YARDIMCI KİTAP</t>
        </is>
      </c>
      <c r="D329" s="16" t="inlineStr">
        <is>
          <t>SATIŞ DANIŞMANI</t>
        </is>
      </c>
      <c r="E329" s="16" t="inlineStr">
        <is>
          <t>KADRO</t>
        </is>
      </c>
      <c r="F329" s="16" t="inlineStr">
        <is>
          <t>15.11.2023</t>
        </is>
      </c>
      <c r="G329" s="16" t="inlineStr"/>
      <c r="H329" s="67" t="inlineStr">
        <is>
          <t>✓</t>
        </is>
      </c>
      <c r="I329" s="67" t="inlineStr">
        <is>
          <t>✓</t>
        </is>
      </c>
      <c r="J329" s="68" t="n">
        <v>2.794520547945206</v>
      </c>
    </row>
    <row r="330">
      <c r="A330" s="16" t="inlineStr">
        <is>
          <t>FIR. KAA. AKT.</t>
        </is>
      </c>
      <c r="B330" s="16" t="inlineStr">
        <is>
          <t>ŞURA</t>
        </is>
      </c>
      <c r="C330" s="16" t="inlineStr">
        <is>
          <t>YARDIMCI KİTAP</t>
        </is>
      </c>
      <c r="D330" s="16" t="inlineStr">
        <is>
          <t>SATIŞ DANIŞMANI</t>
        </is>
      </c>
      <c r="E330" s="16" t="inlineStr">
        <is>
          <t>KADRO</t>
        </is>
      </c>
      <c r="F330" s="16" t="inlineStr">
        <is>
          <t>14.06.2025</t>
        </is>
      </c>
      <c r="G330" s="16" t="inlineStr"/>
      <c r="H330" s="67" t="inlineStr">
        <is>
          <t>✓</t>
        </is>
      </c>
      <c r="I330" s="67" t="inlineStr">
        <is>
          <t>✓</t>
        </is>
      </c>
      <c r="J330" s="68" t="n">
        <v>1.213698630136986</v>
      </c>
    </row>
    <row r="331">
      <c r="A331" s="69" t="inlineStr">
        <is>
          <t>ARD. BAY.</t>
        </is>
      </c>
      <c r="B331" s="69" t="inlineStr">
        <is>
          <t>ŞURA</t>
        </is>
      </c>
      <c r="C331" s="69" t="inlineStr">
        <is>
          <t>YARDIMCI KİTAP</t>
        </is>
      </c>
      <c r="D331" s="69" t="inlineStr">
        <is>
          <t>SATIŞ DANIŞMANI</t>
        </is>
      </c>
      <c r="E331" s="69" t="inlineStr">
        <is>
          <t>SEZONLUK</t>
        </is>
      </c>
      <c r="F331" s="69" t="inlineStr">
        <is>
          <t>14.08.2025</t>
        </is>
      </c>
      <c r="G331" s="69" t="inlineStr">
        <is>
          <t>04.09.2025</t>
        </is>
      </c>
      <c r="H331" s="70" t="inlineStr">
        <is>
          <t>✓</t>
        </is>
      </c>
      <c r="I331" s="70" t="inlineStr"/>
      <c r="J331" s="71" t="n">
        <v>0.05753424657534247</v>
      </c>
    </row>
    <row r="332">
      <c r="A332" s="69" t="inlineStr">
        <is>
          <t>ZEN. MAZ.</t>
        </is>
      </c>
      <c r="B332" s="69" t="inlineStr">
        <is>
          <t>ŞURA</t>
        </is>
      </c>
      <c r="C332" s="69" t="inlineStr">
        <is>
          <t>YARDIMCI KİTAP</t>
        </is>
      </c>
      <c r="D332" s="69" t="inlineStr">
        <is>
          <t>SATIŞ DANIŞMANI</t>
        </is>
      </c>
      <c r="E332" s="69" t="inlineStr">
        <is>
          <t>SEZONLUK</t>
        </is>
      </c>
      <c r="F332" s="69" t="inlineStr">
        <is>
          <t>16.08.2025</t>
        </is>
      </c>
      <c r="G332" s="69" t="inlineStr">
        <is>
          <t>05.09.2025</t>
        </is>
      </c>
      <c r="H332" s="70" t="inlineStr">
        <is>
          <t>✓</t>
        </is>
      </c>
      <c r="I332" s="70" t="inlineStr"/>
      <c r="J332" s="71" t="n">
        <v>0.0547945205479452</v>
      </c>
    </row>
    <row r="333">
      <c r="A333" s="69" t="inlineStr">
        <is>
          <t>EYÜ. KÜÇ.</t>
        </is>
      </c>
      <c r="B333" s="69" t="inlineStr">
        <is>
          <t>ŞURA</t>
        </is>
      </c>
      <c r="C333" s="69" t="inlineStr">
        <is>
          <t>YARDIMCI KİTAP</t>
        </is>
      </c>
      <c r="D333" s="69" t="inlineStr">
        <is>
          <t>SATIŞ DANIŞMANI</t>
        </is>
      </c>
      <c r="E333" s="69" t="inlineStr">
        <is>
          <t>SEZONLUK</t>
        </is>
      </c>
      <c r="F333" s="69" t="inlineStr">
        <is>
          <t>19.08.2025</t>
        </is>
      </c>
      <c r="G333" s="69" t="inlineStr">
        <is>
          <t>18.09.2025</t>
        </is>
      </c>
      <c r="H333" s="70" t="inlineStr">
        <is>
          <t>✓</t>
        </is>
      </c>
      <c r="I333" s="70" t="inlineStr"/>
      <c r="J333" s="71" t="n">
        <v>0.0821917808219178</v>
      </c>
    </row>
    <row r="334">
      <c r="A334" s="69" t="inlineStr">
        <is>
          <t>MUH. UMU. ÇİF.</t>
        </is>
      </c>
      <c r="B334" s="69" t="inlineStr">
        <is>
          <t>ŞURA</t>
        </is>
      </c>
      <c r="C334" s="69" t="inlineStr">
        <is>
          <t>YARDIMCI KİTAP</t>
        </is>
      </c>
      <c r="D334" s="69" t="inlineStr">
        <is>
          <t>SATIŞ DANIŞMANI</t>
        </is>
      </c>
      <c r="E334" s="69" t="inlineStr">
        <is>
          <t>SEZONLUK</t>
        </is>
      </c>
      <c r="F334" s="69" t="inlineStr">
        <is>
          <t>21.08.2025</t>
        </is>
      </c>
      <c r="G334" s="69" t="inlineStr"/>
      <c r="H334" s="70" t="inlineStr">
        <is>
          <t>✓</t>
        </is>
      </c>
      <c r="I334" s="70" t="inlineStr">
        <is>
          <t>✓</t>
        </is>
      </c>
      <c r="J334" s="71" t="n">
        <v>1.027397260273973</v>
      </c>
    </row>
    <row r="335">
      <c r="A335" s="69" t="inlineStr">
        <is>
          <t>MUH. ALİ AKÇ.</t>
        </is>
      </c>
      <c r="B335" s="69" t="inlineStr">
        <is>
          <t>ŞURA</t>
        </is>
      </c>
      <c r="C335" s="69" t="inlineStr">
        <is>
          <t>YARDIMCI KİTAP</t>
        </is>
      </c>
      <c r="D335" s="69" t="inlineStr">
        <is>
          <t>SATIŞ DANIŞMANI</t>
        </is>
      </c>
      <c r="E335" s="69" t="inlineStr">
        <is>
          <t>SEZONLUK</t>
        </is>
      </c>
      <c r="F335" s="69" t="inlineStr">
        <is>
          <t>22.08.2025</t>
        </is>
      </c>
      <c r="G335" s="69" t="inlineStr">
        <is>
          <t>04.09.2025</t>
        </is>
      </c>
      <c r="H335" s="70" t="inlineStr">
        <is>
          <t>✓</t>
        </is>
      </c>
      <c r="I335" s="70" t="inlineStr"/>
      <c r="J335" s="71" t="n">
        <v>0.03561643835616438</v>
      </c>
    </row>
    <row r="336">
      <c r="A336" s="69" t="inlineStr">
        <is>
          <t>MEH. ALP. UZU.</t>
        </is>
      </c>
      <c r="B336" s="69" t="inlineStr">
        <is>
          <t>ŞURA</t>
        </is>
      </c>
      <c r="C336" s="69" t="inlineStr">
        <is>
          <t>YARDIMCI KİTAP</t>
        </is>
      </c>
      <c r="D336" s="69" t="inlineStr">
        <is>
          <t>SATIŞ DANIŞMANI</t>
        </is>
      </c>
      <c r="E336" s="69" t="inlineStr">
        <is>
          <t>SEZONLUK</t>
        </is>
      </c>
      <c r="F336" s="69" t="inlineStr">
        <is>
          <t>30.08.2025</t>
        </is>
      </c>
      <c r="G336" s="69" t="inlineStr">
        <is>
          <t>21.09.2025</t>
        </is>
      </c>
      <c r="H336" s="70" t="inlineStr">
        <is>
          <t>✓</t>
        </is>
      </c>
      <c r="I336" s="70" t="inlineStr"/>
      <c r="J336" s="71" t="n">
        <v>0.06027397260273973</v>
      </c>
    </row>
    <row r="337">
      <c r="A337" s="69" t="inlineStr">
        <is>
          <t>YUS. SEV.</t>
        </is>
      </c>
      <c r="B337" s="69" t="inlineStr">
        <is>
          <t>ŞURA</t>
        </is>
      </c>
      <c r="C337" s="69" t="inlineStr">
        <is>
          <t>YARDIMCI KİTAP</t>
        </is>
      </c>
      <c r="D337" s="69" t="inlineStr">
        <is>
          <t>SATIŞ DANIŞMANI</t>
        </is>
      </c>
      <c r="E337" s="69" t="inlineStr">
        <is>
          <t>SEZONLUK</t>
        </is>
      </c>
      <c r="F337" s="69" t="inlineStr">
        <is>
          <t>03.08.2026</t>
        </is>
      </c>
      <c r="G337" s="69" t="inlineStr"/>
      <c r="H337" s="70" t="inlineStr"/>
      <c r="I337" s="70" t="inlineStr">
        <is>
          <t>✓</t>
        </is>
      </c>
      <c r="J337" s="71" t="n">
        <v>0.07671232876712329</v>
      </c>
    </row>
    <row r="338">
      <c r="A338" s="16" t="inlineStr">
        <is>
          <t>ERA. BÜT.</t>
        </is>
      </c>
      <c r="B338" s="16" t="inlineStr">
        <is>
          <t>ŞURA</t>
        </is>
      </c>
      <c r="C338" s="16" t="inlineStr">
        <is>
          <t>YARDIMCI KİTAP</t>
        </is>
      </c>
      <c r="D338" s="16" t="inlineStr">
        <is>
          <t>SATIŞ DANIŞMANI</t>
        </is>
      </c>
      <c r="E338" s="16" t="inlineStr">
        <is>
          <t>KADRO</t>
        </is>
      </c>
      <c r="F338" s="16" t="inlineStr">
        <is>
          <t>06.08.2026</t>
        </is>
      </c>
      <c r="G338" s="16" t="inlineStr"/>
      <c r="H338" s="67" t="inlineStr"/>
      <c r="I338" s="67" t="inlineStr">
        <is>
          <t>✓</t>
        </is>
      </c>
      <c r="J338" s="68" t="n">
        <v>0.0684931506849315</v>
      </c>
    </row>
    <row r="339">
      <c r="A339" s="69" t="inlineStr">
        <is>
          <t>HAL. İBR. YAL.</t>
        </is>
      </c>
      <c r="B339" s="69" t="inlineStr">
        <is>
          <t>ŞURA</t>
        </is>
      </c>
      <c r="C339" s="69" t="inlineStr">
        <is>
          <t>YARDIMCI KİTAP</t>
        </is>
      </c>
      <c r="D339" s="69" t="inlineStr">
        <is>
          <t>SATIŞ DANIŞMANI</t>
        </is>
      </c>
      <c r="E339" s="69" t="inlineStr">
        <is>
          <t>SEZONLUK</t>
        </is>
      </c>
      <c r="F339" s="69" t="inlineStr">
        <is>
          <t>12.08.2026</t>
        </is>
      </c>
      <c r="G339" s="69" t="inlineStr"/>
      <c r="H339" s="70" t="inlineStr"/>
      <c r="I339" s="70" t="inlineStr">
        <is>
          <t>✓</t>
        </is>
      </c>
      <c r="J339" s="71" t="n">
        <v>0.05205479452054795</v>
      </c>
    </row>
    <row r="340">
      <c r="A340" s="69" t="inlineStr">
        <is>
          <t>MUH. ENV. AKT.</t>
        </is>
      </c>
      <c r="B340" s="69" t="inlineStr">
        <is>
          <t>ŞURA</t>
        </is>
      </c>
      <c r="C340" s="69" t="inlineStr">
        <is>
          <t>YARDIMCI KİTAP</t>
        </is>
      </c>
      <c r="D340" s="69" t="inlineStr">
        <is>
          <t>SATIŞ DANIŞMANI</t>
        </is>
      </c>
      <c r="E340" s="69" t="inlineStr">
        <is>
          <t>SEZONLUK</t>
        </is>
      </c>
      <c r="F340" s="69" t="inlineStr">
        <is>
          <t>18.08.2026</t>
        </is>
      </c>
      <c r="G340" s="69" t="inlineStr"/>
      <c r="H340" s="70" t="inlineStr"/>
      <c r="I340" s="70" t="inlineStr">
        <is>
          <t>✓</t>
        </is>
      </c>
      <c r="J340" s="71" t="n">
        <v>0.03561643835616438</v>
      </c>
    </row>
    <row r="342">
      <c r="A342" s="32" t="inlineStr">
        <is>
          <t>Kadro = SEZONLUK satirlar kirmizi. Bos cikis = halen calisiyor.</t>
        </is>
      </c>
    </row>
    <row r="343">
      <c r="A343" s="32" t="inlineStr">
        <is>
          <t>31.08.YYYY kolonu: o tarihte fiilen calisiyor muydu (as-of Igt &lt;= T AND (Ict IS NULL OR Ict &gt;= T)).</t>
        </is>
      </c>
    </row>
    <row r="344">
      <c r="A344" s="32" t="inlineStr">
        <is>
          <t>336 kisi listelendi.</t>
        </is>
      </c>
    </row>
  </sheetData>
  <autoFilter ref="A4:J3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2026-09-02T22:02:41Z</dcterms:created>
  <dcterms:modified xmlns:dcterms="http://purl.org/dc/terms/" xmlns:xsi="http://www.w3.org/2001/XMLSchema-instance" xsi:type="dcterms:W3CDTF">2026-09-02T22:02:42Z</dcterms:modified>
</cp:coreProperties>
</file>