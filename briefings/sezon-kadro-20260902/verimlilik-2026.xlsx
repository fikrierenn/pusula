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num" sheetId="1" state="visible" r:id="rId1"/>
    <sheet xmlns:r="http://schemas.openxmlformats.org/officeDocument/2006/relationships" name="Ozet" sheetId="2" state="visible" r:id="rId2"/>
    <sheet xmlns:r="http://schemas.openxmlformats.org/officeDocument/2006/relationships" name="Magaza" sheetId="3" state="visible" r:id="rId3"/>
    <sheet xmlns:r="http://schemas.openxmlformats.org/officeDocument/2006/relationships" name="Kadro" sheetId="4" state="visible" r:id="rId4"/>
    <sheet xmlns:r="http://schemas.openxmlformats.org/officeDocument/2006/relationships" name="Bolum" sheetId="5" state="visible" r:id="rId5"/>
    <sheet xmlns:r="http://schemas.openxmlformats.org/officeDocument/2006/relationships" name="Kategori" sheetId="6" state="visible" r:id="rId6"/>
    <sheet xmlns:r="http://schemas.openxmlformats.org/officeDocument/2006/relationships" name="Aylik" sheetId="7" state="visible" r:id="rId7"/>
    <sheet xmlns:r="http://schemas.openxmlformats.org/officeDocument/2006/relationships" name="Yillar" sheetId="8" state="visible" r:id="rId8"/>
    <sheet xmlns:r="http://schemas.openxmlformats.org/officeDocument/2006/relationships" name="Oca-Agu" sheetId="9" state="visible" r:id="rId9"/>
    <sheet xmlns:r="http://schemas.openxmlformats.org/officeDocument/2006/relationships" name="Yontem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+#,##0;-#,##0;0"/>
    <numFmt numFmtId="165" formatCode="+0.0%;-0.0%"/>
    <numFmt numFmtId="166" formatCode="#,##0.0"/>
    <numFmt numFmtId="167" formatCode="0.0&quot;x&quot;"/>
    <numFmt numFmtId="168" formatCode="+0;-0;0"/>
    <numFmt numFmtId="169" formatCode="0.0%"/>
    <numFmt numFmtId="170" formatCode="+0 kişi;-0 kişi"/>
    <numFmt numFmtId="171" formatCode="+0,0%"/>
    <numFmt numFmtId="172" formatCode="0,0&quot;x&quot;"/>
  </numFmts>
  <fonts count="1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  <font>
      <b val="1"/>
    </font>
    <font>
      <b val="1"/>
      <color rgb="001F7A4D"/>
    </font>
    <font>
      <i val="1"/>
      <color rgb="00666666"/>
      <sz val="9"/>
    </font>
    <font>
      <b val="1"/>
      <sz val="10"/>
    </font>
    <font>
      <b val="1"/>
      <color rgb="00A6001A"/>
    </font>
    <font>
      <sz val="9"/>
    </font>
    <font>
      <b val="1"/>
      <color rgb="001F5B57"/>
      <sz val="16"/>
    </font>
    <font>
      <b val="1"/>
      <color rgb="00FFFFFF"/>
      <sz val="11"/>
    </font>
    <font>
      <b val="1"/>
      <sz val="11.5"/>
    </font>
    <font>
      <b val="1"/>
      <color rgb="001F7A4D"/>
      <sz val="14"/>
    </font>
    <font>
      <color rgb="00444444"/>
      <sz val="10"/>
    </font>
    <font>
      <b val="1"/>
      <color rgb="001F5B57"/>
      <sz val="11"/>
    </font>
  </fonts>
  <fills count="6">
    <fill>
      <patternFill/>
    </fill>
    <fill>
      <patternFill patternType="gray125"/>
    </fill>
    <fill>
      <patternFill patternType="solid">
        <fgColor rgb="00E30622"/>
      </patternFill>
    </fill>
    <fill>
      <patternFill patternType="solid">
        <fgColor rgb="001F5B57"/>
      </patternFill>
    </fill>
    <fill>
      <patternFill patternType="solid">
        <fgColor rgb="00F2F2F2"/>
      </patternFill>
    </fill>
    <fill>
      <patternFill patternType="solid">
        <fgColor rgb="00FFF3CD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9" fillId="0" borderId="0" pivotButton="0" quotePrefix="0" xfId="0"/>
    <xf numFmtId="0" fontId="5" fillId="0" borderId="0" pivotButton="0" quotePrefix="0" xfId="0"/>
    <xf numFmtId="0" fontId="10" fillId="3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17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vertical="top" wrapText="1"/>
    </xf>
    <xf numFmtId="171" fontId="12" fillId="0" borderId="0" applyAlignment="1" pivotButton="0" quotePrefix="0" xfId="0">
      <alignment horizontal="right" vertical="center"/>
    </xf>
    <xf numFmtId="172" fontId="12" fillId="0" borderId="0" applyAlignment="1" pivotButton="0" quotePrefix="0" xfId="0">
      <alignment horizontal="right" vertical="center"/>
    </xf>
    <xf numFmtId="0" fontId="0" fillId="5" borderId="0" pivotButton="0" quotePrefix="0" xfId="0"/>
    <xf numFmtId="0" fontId="1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3" borderId="0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3" fillId="0" borderId="1" pivotButton="0" quotePrefix="0" xfId="0"/>
    <xf numFmtId="3" fontId="3" fillId="4" borderId="1" pivotButton="0" quotePrefix="0" xfId="0"/>
    <xf numFmtId="164" fontId="0" fillId="4" borderId="1" pivotButton="0" quotePrefix="0" xfId="0"/>
    <xf numFmtId="165" fontId="0" fillId="4" borderId="1" pivotButton="0" quotePrefix="0" xfId="0"/>
    <xf numFmtId="3" fontId="0" fillId="4" borderId="1" pivotButton="0" quotePrefix="0" xfId="0"/>
    <xf numFmtId="165" fontId="4" fillId="4" borderId="1" pivotButton="0" quotePrefix="0" xfId="0"/>
    <xf numFmtId="166" fontId="0" fillId="4" borderId="1" pivotButton="0" quotePrefix="0" xfId="0"/>
    <xf numFmtId="167" fontId="1" fillId="5" borderId="1" pivotButton="0" quotePrefix="0" xfId="0"/>
    <xf numFmtId="167" fontId="0" fillId="0" borderId="1" pivotButton="0" quotePrefix="0" xfId="0"/>
    <xf numFmtId="164" fontId="3" fillId="5" borderId="1" pivotButton="0" quotePrefix="0" xfId="0"/>
    <xf numFmtId="168" fontId="3" fillId="5" borderId="1" pivotButton="0" quotePrefix="0" xfId="0"/>
    <xf numFmtId="1" fontId="3" fillId="5" borderId="1" pivotButton="0" quotePrefix="0" xfId="0"/>
    <xf numFmtId="0" fontId="5" fillId="0" borderId="0" applyAlignment="1" pivotButton="0" quotePrefix="0" xfId="0">
      <alignment/>
    </xf>
    <xf numFmtId="165" fontId="4" fillId="0" borderId="1" pivotButton="0" quotePrefix="0" xfId="0"/>
    <xf numFmtId="166" fontId="0" fillId="0" borderId="1" pivotButton="0" quotePrefix="0" xfId="0"/>
    <xf numFmtId="167" fontId="4" fillId="0" borderId="1" pivotButton="0" quotePrefix="0" xfId="0"/>
    <xf numFmtId="0" fontId="3" fillId="4" borderId="1" pivotButton="0" quotePrefix="0" xfId="0"/>
    <xf numFmtId="165" fontId="3" fillId="4" borderId="1" pivotButton="0" quotePrefix="0" xfId="0"/>
    <xf numFmtId="166" fontId="3" fillId="4" borderId="1" pivotButton="0" quotePrefix="0" xfId="0"/>
    <xf numFmtId="167" fontId="4" fillId="4" borderId="1" pivotButton="0" quotePrefix="0" xfId="0"/>
    <xf numFmtId="168" fontId="0" fillId="0" borderId="1" pivotButton="0" quotePrefix="0" xfId="0"/>
    <xf numFmtId="168" fontId="3" fillId="4" borderId="1" pivotButton="0" quotePrefix="0" xfId="0"/>
    <xf numFmtId="169" fontId="0" fillId="0" borderId="1" pivotButton="0" quotePrefix="0" xfId="0"/>
    <xf numFmtId="169" fontId="3" fillId="4" borderId="1" pivotButton="0" quotePrefix="0" xfId="0"/>
    <xf numFmtId="165" fontId="3" fillId="0" borderId="1" pivotButton="0" quotePrefix="0" xfId="0"/>
    <xf numFmtId="168" fontId="0" fillId="5" borderId="1" pivotButton="0" quotePrefix="0" xfId="0"/>
    <xf numFmtId="0" fontId="0" fillId="4" borderId="1" pivotButton="0" quotePrefix="0" xfId="0"/>
    <xf numFmtId="0" fontId="6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5" borderId="1" pivotButton="0" quotePrefix="0" xfId="0"/>
    <xf numFmtId="0" fontId="7" fillId="5" borderId="1" pivotButton="0" quotePrefix="0" xfId="0"/>
    <xf numFmtId="3" fontId="3" fillId="0" borderId="1" pivotButton="0" quotePrefix="0" xfId="0"/>
    <xf numFmtId="0" fontId="6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Kisi basi urun adedi — 2025 vs 2026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'Magaza'!H3</f>
            </strRef>
          </tx>
          <spPr>
            <a:ln xmlns:a="http://schemas.openxmlformats.org/drawingml/2006/main">
              <a:prstDash val="solid"/>
            </a:ln>
          </spPr>
          <cat>
            <numRef>
              <f>'Magaza'!$A$4:$A$6</f>
            </numRef>
          </cat>
          <val>
            <numRef>
              <f>'Magaza'!$H$4:$H$6</f>
            </numRef>
          </val>
        </ser>
        <ser>
          <idx val="1"/>
          <order val="1"/>
          <tx>
            <strRef>
              <f>'Magaza'!I3</f>
            </strRef>
          </tx>
          <spPr>
            <a:ln xmlns:a="http://schemas.openxmlformats.org/drawingml/2006/main">
              <a:prstDash val="solid"/>
            </a:ln>
          </spPr>
          <cat>
            <numRef>
              <f>'Magaza'!$A$4:$A$6</f>
            </numRef>
          </cat>
          <val>
            <numRef>
              <f>'Magaza'!$I$4:$I$6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adet / kisi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Kisi basi urun adedi — 4 yillik trend</a:t>
            </a:r>
          </a:p>
        </rich>
      </tx>
    </title>
    <plotArea>
      <lineChart>
        <grouping val="standard"/>
        <ser>
          <idx val="0"/>
          <order val="0"/>
          <tx>
            <strRef>
              <f>'Yillar'!D3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'Yillar'!$A$4:$A$7</f>
            </numRef>
          </cat>
          <val>
            <numRef>
              <f>'Yillar'!$D$4:$D$7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adet / kisi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2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2" customWidth="1" min="2" max="2"/>
    <col width="26" customWidth="1" min="3" max="3"/>
  </cols>
  <sheetData>
    <row r="2">
      <c r="B2" s="1" t="inlineStr">
        <is>
          <t>Sezon 2026 — kadro mu büyüdü, iş mi büyüdü?</t>
        </is>
      </c>
    </row>
    <row r="3">
      <c r="B3" s="2" t="inlineStr">
        <is>
          <t>Beş mağaza kadrosu · üç POS mağazası iş hacmi · 2025 ile aynı takvim dönemi</t>
        </is>
      </c>
    </row>
    <row r="5">
      <c r="A5" s="3" t="inlineStr">
        <is>
          <t>1</t>
        </is>
      </c>
      <c r="B5" s="4" t="inlineStr">
        <is>
          <t>Kadro farkı sezon başlamadan ÖNCE oluştu.</t>
        </is>
      </c>
      <c r="C5" s="5">
        <f>'Ozet'!D20</f>
        <v/>
      </c>
    </row>
    <row r="6" ht="26" customHeight="1">
      <c r="B6" s="6" t="inlineStr">
        <is>
          <t>30 Haziran'da kadrolu personel 139'dan 153'e çıkmıştı.</t>
        </is>
      </c>
    </row>
    <row r="7">
      <c r="A7" s="3" t="inlineStr">
        <is>
          <t>2</t>
        </is>
      </c>
      <c r="B7" s="4" t="inlineStr">
        <is>
          <t>Sezon boyunca kadro büyümedi, KÜÇÜLDÜ.</t>
        </is>
      </c>
      <c r="C7" s="5">
        <f>'Ozet'!C22</f>
        <v/>
      </c>
    </row>
    <row r="8" ht="26" customHeight="1">
      <c r="B8" s="6" t="inlineStr">
        <is>
          <t>1 Temmuz – 31 Ağustos: kadrolu 153 → 149. Geçen yıl da aynı yönde (−4).</t>
        </is>
      </c>
    </row>
    <row r="9">
      <c r="A9" s="3" t="inlineStr">
        <is>
          <t>3</t>
        </is>
      </c>
      <c r="B9" s="4" t="inlineStr">
        <is>
          <t>Sezonluk personel geçen yıldan AZ.</t>
        </is>
      </c>
      <c r="C9" s="5">
        <f>'Ozet'!D23</f>
        <v/>
      </c>
    </row>
    <row r="10" ht="26" customHeight="1">
      <c r="B10" s="6" t="inlineStr">
        <is>
          <t>31 Ağustos'ta çalışan sezonluk: 65 → 62 kişi.</t>
        </is>
      </c>
    </row>
    <row r="11">
      <c r="A11" s="3" t="inlineStr">
        <is>
          <t>4</t>
        </is>
      </c>
      <c r="B11" s="4" t="inlineStr">
        <is>
          <t>Aynı dönemde elleçlenen ürün adedi %35 arttı.</t>
        </is>
      </c>
      <c r="C11" s="7">
        <f>'Ozet'!E8</f>
        <v/>
      </c>
    </row>
    <row r="12" ht="26" customHeight="1">
      <c r="B12" s="6" t="inlineStr">
        <is>
          <t>574.718 → 775.192 adet. Adet enflasyondan etkilenmez — fiilen kasadan geçen, rafa dizilen mal.</t>
        </is>
      </c>
    </row>
    <row r="13">
      <c r="A13" s="3" t="inlineStr">
        <is>
          <t>5</t>
        </is>
      </c>
      <c r="B13" s="4" t="inlineStr">
        <is>
          <t>Ciro %71 arttı.</t>
        </is>
      </c>
      <c r="C13" s="7">
        <f>'Ozet'!E10</f>
        <v/>
      </c>
    </row>
    <row r="14" ht="26" customHeight="1">
      <c r="B14" s="6" t="inlineStr">
        <is>
          <t>71,8 milyon → 122,6 milyon ₺ (KDV dahil, iadeler düşülmüş).</t>
        </is>
      </c>
    </row>
    <row r="15">
      <c r="A15" s="3" t="inlineStr">
        <is>
          <t>6</t>
        </is>
      </c>
      <c r="B15" s="4" t="inlineStr">
        <is>
          <t>KİŞİ BAŞINA düşen iş de arttı.</t>
        </is>
      </c>
      <c r="C15" s="7">
        <f>'Ozet'!E13</f>
        <v/>
      </c>
    </row>
    <row r="16" ht="26" customHeight="1">
      <c r="B16" s="6" t="inlineStr">
        <is>
          <t>Kişi başı ürün 4.019 → 4.845 adet; günlük 71,8 → 86,5 adet.</t>
        </is>
      </c>
    </row>
    <row r="17">
      <c r="A17" s="3" t="inlineStr">
        <is>
          <t>7</t>
        </is>
      </c>
      <c r="B17" s="4" t="inlineStr">
        <is>
          <t>İş hacmi, kadronun yaklaşık 3 KATI hızla büyüdü.</t>
        </is>
      </c>
      <c r="C17" s="8">
        <f>'Ozet'!B17</f>
        <v/>
      </c>
    </row>
    <row r="18" ht="26" customHeight="1">
      <c r="B18" s="6" t="inlineStr">
        <is>
          <t>Ürün adedi +%34,9 · kadro +%11,9.</t>
        </is>
      </c>
    </row>
    <row r="19">
      <c r="A19" s="3" t="inlineStr">
        <is>
          <t>8</t>
        </is>
      </c>
      <c r="B19" s="4" t="inlineStr">
        <is>
          <t>Artış yönetimde değil, RAFIN ÖNÜNDE.</t>
        </is>
      </c>
    </row>
    <row r="20" ht="26" customHeight="1">
      <c r="B20" s="6" t="inlineStr">
        <is>
          <t>Yönetim +0 · Mal Kabul +0 · İdari İşler +0. Artış: Yardımcı Kitap +6 · Kırtasiye +3 · Kasa +2.</t>
        </is>
      </c>
    </row>
    <row r="21">
      <c r="A21" s="3" t="inlineStr">
        <is>
          <t>9</t>
        </is>
      </c>
      <c r="B21" s="4" t="inlineStr">
        <is>
          <t>Büyüme kurumsaldan gelmedi, mağazadan geldi.</t>
        </is>
      </c>
      <c r="C21" s="7">
        <f>'Oca-Agu'!G4</f>
        <v/>
      </c>
    </row>
    <row r="22" ht="26" customHeight="1">
      <c r="B22" s="6" t="inlineStr">
        <is>
          <t>Sınav Okulları Ocak–Ağustos cirosu −%22,4 küçüldü; mağaza tarafı +%54,9 büyüdü.</t>
        </is>
      </c>
    </row>
    <row r="24" ht="34" customHeight="1">
      <c r="A24" s="9" t="n"/>
      <c r="B24" s="10" t="inlineStr">
        <is>
          <t>TEK CÜMLE: Kadro farkı 1 Temmuz'dan önce kurulmuştu; sezon içinde kadro küçülürken iş hacmi %35 büyüdü, kişi başına düşen iş %21 arttı.</t>
        </is>
      </c>
    </row>
    <row r="26" ht="28" customHeight="1">
      <c r="B26" s="11" t="inlineStr">
        <is>
          <t>Rakamların kaynağı ve kontrolü: Ozet · Magaza · Kadro · Bolum · Yillar · Oca-Agu · Yontem sayfaları. Kadro = Zirve İK (İK'nın kendi karşılaştırma raporuyla birebir), iş hacmi = DerinSIS mağaza satışı (Sınav hariç).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5" customWidth="1" min="4" max="4"/>
    <col width="11" customWidth="1" min="5" max="5"/>
  </cols>
  <sheetData>
    <row r="1">
      <c r="A1" s="12" t="inlineStr">
        <is>
          <t>Ayni kadro, daha cok is — kapsamlar AYRI etiketli, altta kopru kontrolu</t>
        </is>
      </c>
    </row>
    <row r="3" ht="30" customHeight="1">
      <c r="A3" s="13" t="inlineStr">
        <is>
          <t>Olcu</t>
        </is>
      </c>
      <c r="B3" s="13" t="inlineStr">
        <is>
          <t>2025</t>
        </is>
      </c>
      <c r="C3" s="13" t="inlineStr">
        <is>
          <t>2026</t>
        </is>
      </c>
      <c r="D3" s="13" t="inlineStr">
        <is>
          <t>Fark</t>
        </is>
      </c>
      <c r="E3" s="13" t="inlineStr">
        <is>
          <t>Degisim</t>
        </is>
      </c>
    </row>
    <row r="4">
      <c r="A4" s="14" t="inlineStr">
        <is>
          <t>KAPSAM A — UC POS MAGAZASI (FSM · Ozluce · Ist. Yolu) · is hacmi YALNIZ burada olculebilir</t>
        </is>
      </c>
      <c r="B4" s="15" t="n"/>
      <c r="C4" s="15" t="n"/>
      <c r="D4" s="15" t="n"/>
      <c r="E4" s="15" t="n"/>
    </row>
    <row r="5">
      <c r="A5" s="16" t="inlineStr">
        <is>
          <t xml:space="preserve">   Kadrolu — 31.08</t>
        </is>
      </c>
      <c r="B5" s="17" t="n">
        <v>96</v>
      </c>
      <c r="C5" s="17" t="n">
        <v>111</v>
      </c>
      <c r="D5" s="18">
        <f>C5-B5</f>
        <v/>
      </c>
      <c r="E5" s="19">
        <f>IF(B5=0,"",C5/B5-1)</f>
        <v/>
      </c>
    </row>
    <row r="6">
      <c r="A6" s="16" t="inlineStr">
        <is>
          <t xml:space="preserve">   Sezonluk — 31.08</t>
        </is>
      </c>
      <c r="B6" s="17" t="n">
        <v>47</v>
      </c>
      <c r="C6" s="17" t="n">
        <v>49</v>
      </c>
      <c r="D6" s="18">
        <f>C6-B6</f>
        <v/>
      </c>
      <c r="E6" s="19">
        <f>IF(B6=0,"",C6/B6-1)</f>
        <v/>
      </c>
    </row>
    <row r="7">
      <c r="A7" s="20">
        <f> TOPLAM KADRO — 31.08 (kisi)</f>
        <v/>
      </c>
      <c r="B7" s="21">
        <f>B5+B6</f>
        <v/>
      </c>
      <c r="C7" s="21">
        <f>C5+C6</f>
        <v/>
      </c>
      <c r="D7" s="22">
        <f>C7-B7</f>
        <v/>
      </c>
      <c r="E7" s="23">
        <f>C7/B7-1</f>
        <v/>
      </c>
    </row>
    <row r="8">
      <c r="A8" s="16" t="inlineStr">
        <is>
          <t xml:space="preserve">   Urun adedi (elleclenen) — 56 gun</t>
        </is>
      </c>
      <c r="B8" s="17" t="n">
        <v>574717.7</v>
      </c>
      <c r="C8" s="17" t="n">
        <v>775191.55</v>
      </c>
      <c r="D8" s="18">
        <f>C8-B8</f>
        <v/>
      </c>
      <c r="E8" s="19">
        <f>IF(B8=0,"",C8/B8-1)</f>
        <v/>
      </c>
    </row>
    <row r="9">
      <c r="A9" s="16" t="inlineStr">
        <is>
          <t xml:space="preserve">   Ciro — KDV haric (TL)</t>
        </is>
      </c>
      <c r="B9" s="17" t="n">
        <v>66929723.56999852</v>
      </c>
      <c r="C9" s="17" t="n">
        <v>114687785.58</v>
      </c>
      <c r="D9" s="18">
        <f>C9-B9</f>
        <v/>
      </c>
      <c r="E9" s="19">
        <f>IF(B9=0,"",C9/B9-1)</f>
        <v/>
      </c>
    </row>
    <row r="10">
      <c r="A10" s="16" t="inlineStr">
        <is>
          <t xml:space="preserve">   Ciro — KDV dahil (TL)</t>
        </is>
      </c>
      <c r="B10" s="17" t="n">
        <v>71837429.11999343</v>
      </c>
      <c r="C10" s="17" t="n">
        <v>122601380.8499947</v>
      </c>
      <c r="D10" s="18">
        <f>C10-B10</f>
        <v/>
      </c>
      <c r="E10" s="19">
        <f>IF(B10=0,"",C10/B10-1)</f>
        <v/>
      </c>
    </row>
    <row r="12">
      <c r="A12" s="14" t="inlineStr">
        <is>
          <t>KISI BASI — asil olcu · kapsam A toplam kadrosuna bolunur (satir 7)</t>
        </is>
      </c>
      <c r="B12" s="15" t="n"/>
      <c r="C12" s="15" t="n"/>
      <c r="D12" s="15" t="n"/>
      <c r="E12" s="15" t="n"/>
    </row>
    <row r="13">
      <c r="A13" s="16" t="inlineStr">
        <is>
          <t xml:space="preserve">   Urun adedi / kisi</t>
        </is>
      </c>
      <c r="B13" s="24">
        <f>B8/B7</f>
        <v/>
      </c>
      <c r="C13" s="24">
        <f>C8/C7</f>
        <v/>
      </c>
      <c r="D13" s="24">
        <f>C13-B13</f>
        <v/>
      </c>
      <c r="E13" s="25">
        <f>C13/B13-1</f>
        <v/>
      </c>
    </row>
    <row r="14">
      <c r="A14" s="16" t="inlineStr">
        <is>
          <t xml:space="preserve">   Urun adedi / kisi / gun</t>
        </is>
      </c>
      <c r="B14" s="26">
        <f>B8/B7/56</f>
        <v/>
      </c>
      <c r="C14" s="26">
        <f>C8/C7/56</f>
        <v/>
      </c>
      <c r="D14" s="26">
        <f>C14-B14</f>
        <v/>
      </c>
      <c r="E14" s="25">
        <f>C14/B14-1</f>
        <v/>
      </c>
    </row>
    <row r="15">
      <c r="A15" s="16" t="inlineStr">
        <is>
          <t xml:space="preserve">   Ciro (KDV haric) / kisi (TL)</t>
        </is>
      </c>
      <c r="B15" s="24">
        <f>B9/B7</f>
        <v/>
      </c>
      <c r="C15" s="24">
        <f>C9/C7</f>
        <v/>
      </c>
      <c r="D15" s="24">
        <f>C15-B15</f>
        <v/>
      </c>
      <c r="E15" s="25">
        <f>C15/B15-1</f>
        <v/>
      </c>
    </row>
    <row r="16">
      <c r="A16" s="16" t="inlineStr">
        <is>
          <t xml:space="preserve">   Is buyumesi kadro buyumesinin kac kati (adet ÷ kadro)</t>
        </is>
      </c>
      <c r="B16" s="27">
        <f>E8/E7</f>
        <v/>
      </c>
      <c r="C16" s="2" t="inlineStr">
        <is>
          <t>adet degisimi ÷ kadro degisimi</t>
        </is>
      </c>
    </row>
    <row r="17">
      <c r="A17" s="16" t="inlineStr">
        <is>
          <t xml:space="preserve">   ayni oran ciro ile (ciro ÷ kadro)</t>
        </is>
      </c>
      <c r="B17" s="28">
        <f>E9/E7</f>
        <v/>
      </c>
    </row>
    <row r="19">
      <c r="A19" s="14" t="inlineStr">
        <is>
          <t>KAPSAM B — BES MAGAZA (+ Heykel, Sura: POS raporlamasinda YOK -&gt; is hacmi olculemez)</t>
        </is>
      </c>
      <c r="B19" s="15" t="n"/>
      <c r="C19" s="15" t="n"/>
      <c r="D19" s="15" t="n"/>
      <c r="E19" s="15" t="n"/>
    </row>
    <row r="20">
      <c r="A20" s="16" t="inlineStr">
        <is>
          <t xml:space="preserve">   Kadrolu — TABAN 30.06 (sezon oncesi kurulu kadro)</t>
        </is>
      </c>
      <c r="B20" s="21" t="n">
        <v>139</v>
      </c>
      <c r="C20" s="21" t="n">
        <v>153</v>
      </c>
      <c r="D20" s="29">
        <f>C20-B20</f>
        <v/>
      </c>
      <c r="E20" s="19">
        <f>IF(B20=0,"",C20/B20-1)</f>
        <v/>
      </c>
    </row>
    <row r="21">
      <c r="A21" s="16" t="inlineStr">
        <is>
          <t xml:space="preserve">   Kadrolu — KESIM 31.08</t>
        </is>
      </c>
      <c r="B21" s="17" t="n">
        <v>135</v>
      </c>
      <c r="C21" s="17" t="n">
        <v>149</v>
      </c>
      <c r="D21" s="18">
        <f>C21-B21</f>
        <v/>
      </c>
      <c r="E21" s="19">
        <f>IF(B21=0,"",C21/B21-1)</f>
        <v/>
      </c>
    </row>
    <row r="22">
      <c r="A22" s="16" t="inlineStr">
        <is>
          <t xml:space="preserve">   Sezon ici kadrolu degisim (kesim - taban)</t>
        </is>
      </c>
      <c r="B22" s="30">
        <f>B21-B20</f>
        <v/>
      </c>
      <c r="C22" s="30">
        <f>C21-C20</f>
        <v/>
      </c>
      <c r="D22" s="2" t="inlineStr">
        <is>
          <t>iki yilda da -4: sezon icinde kadro BUYUMEDI</t>
        </is>
      </c>
    </row>
    <row r="23">
      <c r="A23" s="16" t="inlineStr">
        <is>
          <t xml:space="preserve">   Sezonluk — 31.08</t>
        </is>
      </c>
      <c r="B23" s="17" t="n">
        <v>65</v>
      </c>
      <c r="C23" s="17" t="n">
        <v>62</v>
      </c>
      <c r="D23" s="18">
        <f>C23-B23</f>
        <v/>
      </c>
      <c r="E23" s="19">
        <f>IF(B23=0,"",C23/B23-1)</f>
        <v/>
      </c>
    </row>
    <row r="24">
      <c r="A24" s="16" t="inlineStr">
        <is>
          <t xml:space="preserve">   = Toplam kadro — 31.08</t>
        </is>
      </c>
      <c r="B24" s="17" t="n">
        <v>200</v>
      </c>
      <c r="C24" s="17" t="n">
        <v>211</v>
      </c>
      <c r="D24" s="18">
        <f>C24-B24</f>
        <v/>
      </c>
      <c r="E24" s="19">
        <f>IF(B24=0,"",C24/B24-1)</f>
        <v/>
      </c>
    </row>
    <row r="26">
      <c r="A26" s="14" t="inlineStr">
        <is>
          <t>KOPRU — A ile B nasil bagli (KONTROL satiri 0 olmali)</t>
        </is>
      </c>
      <c r="B26" s="15" t="n"/>
      <c r="C26" s="15" t="n"/>
      <c r="D26" s="15" t="n"/>
      <c r="E26" s="15" t="n"/>
    </row>
    <row r="27">
      <c r="A27" s="16" t="inlineStr">
        <is>
          <t xml:space="preserve">   Kapsam A toplam kadro (31.08)</t>
        </is>
      </c>
      <c r="B27" s="17">
        <f>B7</f>
        <v/>
      </c>
      <c r="C27" s="17">
        <f>C7</f>
        <v/>
      </c>
    </row>
    <row r="28">
      <c r="A28" s="16" t="inlineStr">
        <is>
          <t xml:space="preserve">   + Heykel + Sura (kadrolu + sezonluk)</t>
        </is>
      </c>
      <c r="B28" s="17" t="n">
        <v>57</v>
      </c>
      <c r="C28" s="17" t="n">
        <v>51</v>
      </c>
      <c r="D28" s="18">
        <f>C28-B28</f>
        <v/>
      </c>
    </row>
    <row r="29">
      <c r="A29" s="16" t="inlineStr">
        <is>
          <t xml:space="preserve">   = Kapsam B toplam kadro (hesap)</t>
        </is>
      </c>
      <c r="B29" s="21">
        <f>B27+B28</f>
        <v/>
      </c>
      <c r="C29" s="21">
        <f>C27+C28</f>
        <v/>
      </c>
    </row>
    <row r="30">
      <c r="A30" s="20" t="inlineStr">
        <is>
          <t xml:space="preserve">   KONTROL: hesap - B blogundaki toplam (0 OLMALI)</t>
        </is>
      </c>
      <c r="B30" s="31">
        <f>B29-B24</f>
        <v/>
      </c>
      <c r="C30" s="31">
        <f>C29-C24</f>
        <v/>
      </c>
    </row>
    <row r="32">
      <c r="A32" s="32" t="inlineStr">
        <is>
          <t>NEDEN IKI KAPSAM: is hacmi (adet/ciro) yalniz POS raporlamasi olan UC magazada olculebilir;</t>
        </is>
      </c>
    </row>
    <row r="33">
      <c r="A33" s="32" t="inlineStr">
        <is>
          <t xml:space="preserve">   kadro hareketi ise bes magazanin tamaminda anlamli. Karismasin diye bloklar ayri + kopru var.</t>
        </is>
      </c>
    </row>
    <row r="34">
      <c r="A34" s="32" t="inlineStr">
        <is>
          <t>NEDEN IKI TARIH: 30.06 = sezon baslamadan onceki kurulu kadro (+14 farki BURADA olustu),</t>
        </is>
      </c>
    </row>
    <row r="35">
      <c r="A35" s="32" t="inlineStr">
        <is>
          <t xml:space="preserve">   31.08 = sezon zirvesindeki fiili kadro. Ayni yilin iki farkli gunu; birbirinin yerine gecmez.</t>
        </is>
      </c>
    </row>
    <row r="36">
      <c r="A36" s="32" t="inlineStr">
        <is>
          <t>Kadrolu = Kadro &lt;&gt; 'SEZONLUK' · Sezonluk = Kadro = 'SEZONLUK' · Toplam = ikisinin toplami.</t>
        </is>
      </c>
    </row>
    <row r="37">
      <c r="A37" s="32" t="inlineStr">
        <is>
          <t>Tum yuzde / oran / kopru satirlari Excel FORMULU — ham rakami degistir, hepsi kendini gunceller.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9" customWidth="1" min="4" max="4"/>
    <col width="13" customWidth="1" min="5" max="5"/>
    <col width="13" customWidth="1" min="6" max="6"/>
    <col width="9" customWidth="1" min="7" max="7"/>
    <col width="11" customWidth="1" min="8" max="8"/>
    <col width="11" customWidth="1" min="9" max="9"/>
    <col width="11" customWidth="1" min="10" max="10"/>
    <col width="12" customWidth="1" min="11" max="11"/>
    <col width="12" customWidth="1" min="12" max="12"/>
    <col width="15" customWidth="1" min="13" max="13"/>
    <col width="15" customWidth="1" min="14" max="14"/>
    <col width="9" customWidth="1" min="15" max="15"/>
    <col width="13" customWidth="1" min="16" max="16"/>
    <col width="13" customWidth="1" min="17" max="17"/>
    <col width="11" customWidth="1" min="18" max="18"/>
    <col width="11" customWidth="1" min="19" max="19"/>
  </cols>
  <sheetData>
    <row r="1">
      <c r="A1" s="12" t="inlineStr">
        <is>
          <t>Magaza bazinda kisi basi is — okul-hizali pencere (56 gun, Sinav haric)</t>
        </is>
      </c>
    </row>
    <row r="3" ht="30" customHeight="1">
      <c r="A3" s="13" t="inlineStr">
        <is>
          <t>Magaza</t>
        </is>
      </c>
      <c r="B3" s="13" t="inlineStr">
        <is>
          <t>Kadro 2025</t>
        </is>
      </c>
      <c r="C3" s="13" t="inlineStr">
        <is>
          <t>Kadro 2026</t>
        </is>
      </c>
      <c r="D3" s="13" t="inlineStr">
        <is>
          <t>Kadro Δ%</t>
        </is>
      </c>
      <c r="E3" s="13" t="inlineStr">
        <is>
          <t>Urun adedi 2025</t>
        </is>
      </c>
      <c r="F3" s="13" t="inlineStr">
        <is>
          <t>Urun adedi 2026</t>
        </is>
      </c>
      <c r="G3" s="13" t="inlineStr">
        <is>
          <t>Adet Δ%</t>
        </is>
      </c>
      <c r="H3" s="13" t="inlineStr">
        <is>
          <t>Adet/kisi 2025</t>
        </is>
      </c>
      <c r="I3" s="13" t="inlineStr">
        <is>
          <t>Adet/kisi 2026</t>
        </is>
      </c>
      <c r="J3" s="13" t="inlineStr">
        <is>
          <t>Adet/kisi Δ%</t>
        </is>
      </c>
      <c r="K3" s="13" t="inlineStr">
        <is>
          <t>Adet/kisi/gun 2025</t>
        </is>
      </c>
      <c r="L3" s="13" t="inlineStr">
        <is>
          <t>Adet/kisi/gun 2026</t>
        </is>
      </c>
      <c r="M3" s="13" t="inlineStr">
        <is>
          <t>Ciro 2025 (KDV haric)</t>
        </is>
      </c>
      <c r="N3" s="13" t="inlineStr">
        <is>
          <t>Ciro 2026 (KDV haric)</t>
        </is>
      </c>
      <c r="O3" s="13" t="inlineStr">
        <is>
          <t>Ciro Δ%</t>
        </is>
      </c>
      <c r="P3" s="13" t="inlineStr">
        <is>
          <t>Ciro/kisi 2025</t>
        </is>
      </c>
      <c r="Q3" s="13" t="inlineStr">
        <is>
          <t>Ciro/kisi 2026</t>
        </is>
      </c>
      <c r="R3" s="13" t="inlineStr">
        <is>
          <t>Ciro/kisi Δ%</t>
        </is>
      </c>
      <c r="S3" s="13" t="inlineStr">
        <is>
          <t>Is / kadro (kac kat)</t>
        </is>
      </c>
    </row>
    <row r="4">
      <c r="A4" s="16" t="inlineStr">
        <is>
          <t>İst. Yolu</t>
        </is>
      </c>
      <c r="B4" s="17" t="n">
        <v>50</v>
      </c>
      <c r="C4" s="17" t="n">
        <v>61</v>
      </c>
      <c r="D4" s="19">
        <f>C4/B4-1</f>
        <v/>
      </c>
      <c r="E4" s="17" t="n">
        <v>173398</v>
      </c>
      <c r="F4" s="17" t="n">
        <v>258168.5</v>
      </c>
      <c r="G4" s="19">
        <f>F4/E4-1</f>
        <v/>
      </c>
      <c r="H4" s="17">
        <f>E4/B4</f>
        <v/>
      </c>
      <c r="I4" s="17">
        <f>F4/C4</f>
        <v/>
      </c>
      <c r="J4" s="33">
        <f>I4/H4-1</f>
        <v/>
      </c>
      <c r="K4" s="34">
        <f>E4/B4/56</f>
        <v/>
      </c>
      <c r="L4" s="34">
        <f>F4/C4/56</f>
        <v/>
      </c>
      <c r="M4" s="17" t="n">
        <v>20455158.42999981</v>
      </c>
      <c r="N4" s="17" t="n">
        <v>40444611.76999976</v>
      </c>
      <c r="O4" s="19">
        <f>N4/M4-1</f>
        <v/>
      </c>
      <c r="P4" s="17">
        <f>M4/B4</f>
        <v/>
      </c>
      <c r="Q4" s="17">
        <f>N4/C4</f>
        <v/>
      </c>
      <c r="R4" s="33">
        <f>Q4/P4-1</f>
        <v/>
      </c>
      <c r="S4" s="35">
        <f>G4/D4</f>
        <v/>
      </c>
    </row>
    <row r="5">
      <c r="A5" s="16" t="inlineStr">
        <is>
          <t>Özlüce</t>
        </is>
      </c>
      <c r="B5" s="17" t="n">
        <v>51</v>
      </c>
      <c r="C5" s="17" t="n">
        <v>54</v>
      </c>
      <c r="D5" s="19">
        <f>C5/B5-1</f>
        <v/>
      </c>
      <c r="E5" s="17" t="n">
        <v>230764.7</v>
      </c>
      <c r="F5" s="17" t="n">
        <v>301250.05</v>
      </c>
      <c r="G5" s="19">
        <f>F5/E5-1</f>
        <v/>
      </c>
      <c r="H5" s="17">
        <f>E5/B5</f>
        <v/>
      </c>
      <c r="I5" s="17">
        <f>F5/C5</f>
        <v/>
      </c>
      <c r="J5" s="33">
        <f>I5/H5-1</f>
        <v/>
      </c>
      <c r="K5" s="34">
        <f>E5/B5/56</f>
        <v/>
      </c>
      <c r="L5" s="34">
        <f>F5/C5/56</f>
        <v/>
      </c>
      <c r="M5" s="17" t="n">
        <v>28347121.58999882</v>
      </c>
      <c r="N5" s="17" t="n">
        <v>44784483.14999945</v>
      </c>
      <c r="O5" s="19">
        <f>N5/M5-1</f>
        <v/>
      </c>
      <c r="P5" s="17">
        <f>M5/B5</f>
        <v/>
      </c>
      <c r="Q5" s="17">
        <f>N5/C5</f>
        <v/>
      </c>
      <c r="R5" s="33">
        <f>Q5/P5-1</f>
        <v/>
      </c>
      <c r="S5" s="35">
        <f>G5/D5</f>
        <v/>
      </c>
    </row>
    <row r="6">
      <c r="A6" s="16" t="inlineStr">
        <is>
          <t>FSM</t>
        </is>
      </c>
      <c r="B6" s="17" t="n">
        <v>42</v>
      </c>
      <c r="C6" s="17" t="n">
        <v>45</v>
      </c>
      <c r="D6" s="19">
        <f>C6/B6-1</f>
        <v/>
      </c>
      <c r="E6" s="17" t="n">
        <v>170555</v>
      </c>
      <c r="F6" s="17" t="n">
        <v>215773</v>
      </c>
      <c r="G6" s="19">
        <f>F6/E6-1</f>
        <v/>
      </c>
      <c r="H6" s="17">
        <f>E6/B6</f>
        <v/>
      </c>
      <c r="I6" s="17">
        <f>F6/C6</f>
        <v/>
      </c>
      <c r="J6" s="33">
        <f>I6/H6-1</f>
        <v/>
      </c>
      <c r="K6" s="34">
        <f>E6/B6/56</f>
        <v/>
      </c>
      <c r="L6" s="34">
        <f>F6/C6/56</f>
        <v/>
      </c>
      <c r="M6" s="17" t="n">
        <v>18127443.54999989</v>
      </c>
      <c r="N6" s="17" t="n">
        <v>29458690.66000078</v>
      </c>
      <c r="O6" s="19">
        <f>N6/M6-1</f>
        <v/>
      </c>
      <c r="P6" s="17">
        <f>M6/B6</f>
        <v/>
      </c>
      <c r="Q6" s="17">
        <f>N6/C6</f>
        <v/>
      </c>
      <c r="R6" s="33">
        <f>Q6/P6-1</f>
        <v/>
      </c>
      <c r="S6" s="35">
        <f>G6/D6</f>
        <v/>
      </c>
    </row>
    <row r="7">
      <c r="A7" s="36" t="inlineStr">
        <is>
          <t>TOPLAM</t>
        </is>
      </c>
      <c r="B7" s="21">
        <f>SUM(B4:B6)</f>
        <v/>
      </c>
      <c r="C7" s="21">
        <f>SUM(C4:C6)</f>
        <v/>
      </c>
      <c r="D7" s="37">
        <f>C7/B7-1</f>
        <v/>
      </c>
      <c r="E7" s="21">
        <f>SUM(E4:E6)</f>
        <v/>
      </c>
      <c r="F7" s="21">
        <f>SUM(F4:F6)</f>
        <v/>
      </c>
      <c r="G7" s="37">
        <f>F7/E7-1</f>
        <v/>
      </c>
      <c r="H7" s="21">
        <f>E7/B7</f>
        <v/>
      </c>
      <c r="I7" s="21">
        <f>F7/C7</f>
        <v/>
      </c>
      <c r="J7" s="25">
        <f>I7/H7-1</f>
        <v/>
      </c>
      <c r="K7" s="38">
        <f>E7/B7/56</f>
        <v/>
      </c>
      <c r="L7" s="38">
        <f>F7/C7/56</f>
        <v/>
      </c>
      <c r="M7" s="21">
        <f>SUM(M4:M6)</f>
        <v/>
      </c>
      <c r="N7" s="21">
        <f>SUM(N4:N6)</f>
        <v/>
      </c>
      <c r="O7" s="37">
        <f>N7/M7-1</f>
        <v/>
      </c>
      <c r="P7" s="21">
        <f>M7/B7</f>
        <v/>
      </c>
      <c r="Q7" s="21">
        <f>N7/C7</f>
        <v/>
      </c>
      <c r="R7" s="25">
        <f>Q7/P7-1</f>
        <v/>
      </c>
      <c r="S7" s="39">
        <f>G7/D7</f>
        <v/>
      </c>
    </row>
    <row r="29">
      <c r="A29" s="32" t="inlineStr">
        <is>
          <t>Kadro = 31.08 itibariyla o magazada fiilen calisan TUM personel (sezonluk + kadrolu).</t>
        </is>
      </c>
    </row>
    <row r="30">
      <c r="A30" s="32" t="inlineStr">
        <is>
          <t>'Is / kadro' = urun adedi buyumesi / kadro buyumesi. 1,0x'in uzeri: is kadrodan hizli buyudu.</t>
        </is>
      </c>
    </row>
    <row r="31">
      <c r="A31" s="32" t="inlineStr">
        <is>
          <t>Ist. Yolu kadrosu en cok buyuyen magaza (50 -&gt; 61) ama ise ragmen kisi basi adedi de artti.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9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9" customWidth="1" min="13" max="13"/>
  </cols>
  <sheetData>
    <row r="1">
      <c r="A1" s="12" t="inlineStr">
        <is>
          <t>Bes magaza kadro tablosu — as-of Igt &lt;= T AND (Ict IS NULL OR Ict &gt;= T)</t>
        </is>
      </c>
    </row>
    <row r="3" ht="30" customHeight="1">
      <c r="A3" s="13" t="inlineStr">
        <is>
          <t>Magaza</t>
        </is>
      </c>
      <c r="B3" s="13" t="inlineStr">
        <is>
          <t>Kadrolu taban 30.06 · 2025</t>
        </is>
      </c>
      <c r="C3" s="13" t="inlineStr">
        <is>
          <t>Kadrolu taban 30.06 · 2026</t>
        </is>
      </c>
      <c r="D3" s="13" t="inlineStr">
        <is>
          <t>Taban Δ</t>
        </is>
      </c>
      <c r="E3" s="13" t="inlineStr">
        <is>
          <t>Kadrolu 31.08 · 2025</t>
        </is>
      </c>
      <c r="F3" s="13" t="inlineStr">
        <is>
          <t>Kadrolu 31.08 · 2026</t>
        </is>
      </c>
      <c r="G3" s="13" t="inlineStr">
        <is>
          <t>Sezon ici hareket 2025</t>
        </is>
      </c>
      <c r="H3" s="13" t="inlineStr">
        <is>
          <t>Sezon ici hareket 2026</t>
        </is>
      </c>
      <c r="I3" s="13" t="inlineStr">
        <is>
          <t>Sezonluk 31.08 · 2025</t>
        </is>
      </c>
      <c r="J3" s="13" t="inlineStr">
        <is>
          <t>Sezonluk 31.08 · 2026</t>
        </is>
      </c>
      <c r="K3" s="13" t="inlineStr">
        <is>
          <t>Toplam 31.08 · 2025</t>
        </is>
      </c>
      <c r="L3" s="13" t="inlineStr">
        <is>
          <t>Toplam 31.08 · 2026</t>
        </is>
      </c>
      <c r="M3" s="13" t="inlineStr">
        <is>
          <t>Toplam Δ</t>
        </is>
      </c>
    </row>
    <row r="4">
      <c r="A4" s="16" t="inlineStr">
        <is>
          <t>İST. YOLU</t>
        </is>
      </c>
      <c r="B4" s="17" t="n">
        <v>29</v>
      </c>
      <c r="C4" s="17" t="n">
        <v>35</v>
      </c>
      <c r="D4" s="40">
        <f>C4-B4</f>
        <v/>
      </c>
      <c r="E4" s="17" t="n">
        <v>27</v>
      </c>
      <c r="F4" s="17" t="n">
        <v>36</v>
      </c>
      <c r="G4" s="40">
        <f>E4-B4</f>
        <v/>
      </c>
      <c r="H4" s="40">
        <f>F4-C4</f>
        <v/>
      </c>
      <c r="I4" s="17" t="n">
        <v>23</v>
      </c>
      <c r="J4" s="17" t="n">
        <v>25</v>
      </c>
      <c r="K4" s="17">
        <f>E4+I4</f>
        <v/>
      </c>
      <c r="L4" s="17">
        <f>F4+J4</f>
        <v/>
      </c>
      <c r="M4" s="40">
        <f>L4-K4</f>
        <v/>
      </c>
    </row>
    <row r="5">
      <c r="A5" s="16" t="inlineStr">
        <is>
          <t>ÖZLÜCE</t>
        </is>
      </c>
      <c r="B5" s="17" t="n">
        <v>39</v>
      </c>
      <c r="C5" s="17" t="n">
        <v>44</v>
      </c>
      <c r="D5" s="40">
        <f>C5-B5</f>
        <v/>
      </c>
      <c r="E5" s="17" t="n">
        <v>36</v>
      </c>
      <c r="F5" s="17" t="n">
        <v>41</v>
      </c>
      <c r="G5" s="40">
        <f>E5-B5</f>
        <v/>
      </c>
      <c r="H5" s="40">
        <f>F5-C5</f>
        <v/>
      </c>
      <c r="I5" s="17" t="n">
        <v>15</v>
      </c>
      <c r="J5" s="17" t="n">
        <v>13</v>
      </c>
      <c r="K5" s="17">
        <f>E5+I5</f>
        <v/>
      </c>
      <c r="L5" s="17">
        <f>F5+J5</f>
        <v/>
      </c>
      <c r="M5" s="40">
        <f>L5-K5</f>
        <v/>
      </c>
    </row>
    <row r="6">
      <c r="A6" s="16" t="inlineStr">
        <is>
          <t>FSM</t>
        </is>
      </c>
      <c r="B6" s="17" t="n">
        <v>34</v>
      </c>
      <c r="C6" s="17" t="n">
        <v>35</v>
      </c>
      <c r="D6" s="40">
        <f>C6-B6</f>
        <v/>
      </c>
      <c r="E6" s="17" t="n">
        <v>33</v>
      </c>
      <c r="F6" s="17" t="n">
        <v>34</v>
      </c>
      <c r="G6" s="40">
        <f>E6-B6</f>
        <v/>
      </c>
      <c r="H6" s="40">
        <f>F6-C6</f>
        <v/>
      </c>
      <c r="I6" s="17" t="n">
        <v>9</v>
      </c>
      <c r="J6" s="17" t="n">
        <v>11</v>
      </c>
      <c r="K6" s="17">
        <f>E6+I6</f>
        <v/>
      </c>
      <c r="L6" s="17">
        <f>F6+J6</f>
        <v/>
      </c>
      <c r="M6" s="40">
        <f>L6-K6</f>
        <v/>
      </c>
    </row>
    <row r="7">
      <c r="A7" s="16" t="inlineStr">
        <is>
          <t>HEYKEL</t>
        </is>
      </c>
      <c r="B7" s="17" t="n">
        <v>28</v>
      </c>
      <c r="C7" s="17" t="n">
        <v>29</v>
      </c>
      <c r="D7" s="40">
        <f>C7-B7</f>
        <v/>
      </c>
      <c r="E7" s="17" t="n">
        <v>28</v>
      </c>
      <c r="F7" s="17" t="n">
        <v>26</v>
      </c>
      <c r="G7" s="40">
        <f>E7-B7</f>
        <v/>
      </c>
      <c r="H7" s="40">
        <f>F7-C7</f>
        <v/>
      </c>
      <c r="I7" s="17" t="n">
        <v>12</v>
      </c>
      <c r="J7" s="17" t="n">
        <v>9</v>
      </c>
      <c r="K7" s="17">
        <f>E7+I7</f>
        <v/>
      </c>
      <c r="L7" s="17">
        <f>F7+J7</f>
        <v/>
      </c>
      <c r="M7" s="40">
        <f>L7-K7</f>
        <v/>
      </c>
    </row>
    <row r="8">
      <c r="A8" s="16" t="inlineStr">
        <is>
          <t>ŞURA</t>
        </is>
      </c>
      <c r="B8" s="17" t="n">
        <v>9</v>
      </c>
      <c r="C8" s="17" t="n">
        <v>10</v>
      </c>
      <c r="D8" s="40">
        <f>C8-B8</f>
        <v/>
      </c>
      <c r="E8" s="17" t="n">
        <v>11</v>
      </c>
      <c r="F8" s="17" t="n">
        <v>12</v>
      </c>
      <c r="G8" s="40">
        <f>E8-B8</f>
        <v/>
      </c>
      <c r="H8" s="40">
        <f>F8-C8</f>
        <v/>
      </c>
      <c r="I8" s="17" t="n">
        <v>6</v>
      </c>
      <c r="J8" s="17" t="n">
        <v>4</v>
      </c>
      <c r="K8" s="17">
        <f>E8+I8</f>
        <v/>
      </c>
      <c r="L8" s="17">
        <f>F8+J8</f>
        <v/>
      </c>
      <c r="M8" s="40">
        <f>L8-K8</f>
        <v/>
      </c>
    </row>
    <row r="9">
      <c r="A9" s="36" t="inlineStr">
        <is>
          <t>TOPLAM</t>
        </is>
      </c>
      <c r="B9" s="21">
        <f>SUM(B4:B8)</f>
        <v/>
      </c>
      <c r="C9" s="21">
        <f>SUM(C4:C8)</f>
        <v/>
      </c>
      <c r="D9" s="30">
        <f>C9-B9</f>
        <v/>
      </c>
      <c r="E9" s="21">
        <f>SUM(E4:E8)</f>
        <v/>
      </c>
      <c r="F9" s="21">
        <f>SUM(F4:F8)</f>
        <v/>
      </c>
      <c r="G9" s="41">
        <f>E9-B9</f>
        <v/>
      </c>
      <c r="H9" s="30">
        <f>F9-C9</f>
        <v/>
      </c>
      <c r="I9" s="21">
        <f>SUM(I4:I8)</f>
        <v/>
      </c>
      <c r="J9" s="21">
        <f>SUM(J4:J8)</f>
        <v/>
      </c>
      <c r="K9" s="21">
        <f>E9+I9</f>
        <v/>
      </c>
      <c r="L9" s="21">
        <f>F9+J9</f>
        <v/>
      </c>
      <c r="M9" s="41">
        <f>L9-K9</f>
        <v/>
      </c>
    </row>
    <row r="11">
      <c r="A11" s="32" t="inlineStr">
        <is>
          <t>TABAN FARKI (D kolonu, TOPLAM satiri) = patrona soylenen +14: kadrolu 139 -&gt; 153, 1 TEMMUZ'DAN ONCE olustu.</t>
        </is>
      </c>
    </row>
    <row r="12">
      <c r="A12" s="32" t="inlineStr">
        <is>
          <t>SEZON ICI HAREKET = kesim - taban. 2026'da -4; 2025'te de -4 -&gt; sezon icinde kadro buyutulmedi, iki yilin deseni ayni.</t>
        </is>
      </c>
    </row>
    <row r="13">
      <c r="A13" s="32" t="inlineStr">
        <is>
          <t>Sayim TEK TABLO uzerinden (vw_PersonelDepartman). Onceki surumde perbilgi LEFT JOIN'i bir kisiyi iki kez saymis:</t>
        </is>
      </c>
    </row>
    <row r="14">
      <c r="A14" s="32" t="inlineStr">
        <is>
          <t xml:space="preserve">   Ozluce 31.08.2026 kadrolu 42 gorunuyordu, DOGRUSU 41 (teyit: KADRO 41 + SEZONLUK 13 = 54 kisi).</t>
        </is>
      </c>
    </row>
    <row r="15">
      <c r="A15" s="32" t="inlineStr">
        <is>
          <t xml:space="preserve">   Bu yuzden magaza toplami 150 degil 149; sezon ici hareket -3 degil -4.</t>
        </is>
      </c>
    </row>
    <row r="16">
      <c r="A16" s="32" t="inlineStr">
        <is>
          <t>Heykel ve Sura POS raporlamasinda yok -&gt; is hacmi sayfalarinda yer almaz, kadro tablosunda VARDIR.</t>
        </is>
      </c>
    </row>
    <row r="17">
      <c r="A17" s="32" t="inlineStr">
        <is>
          <t>KAPSAM: Lokasyon = MAGAZALAR. Cift gorevli 1 kisi (GM satinalma 'KITAP DISI S.A' + Heykel) bu</t>
        </is>
      </c>
    </row>
    <row r="18">
      <c r="A18" s="32" t="inlineStr">
        <is>
          <t xml:space="preserve">   kapsamda GORUNMEZ. O kisi Heykel'e eklenirse taban 140 -&gt; 154, kesim 136 -&gt; 150 olur;</t>
        </is>
      </c>
    </row>
    <row r="19">
      <c r="A19" s="32" t="inlineStr">
        <is>
          <t xml:space="preserve">   TABAN FARKI yine +14, SEZON ICI HAREKET yine -4. Yani cift gorev savunmayi DEGISTIRMIYOR.</t>
        </is>
      </c>
    </row>
    <row r="20">
      <c r="A20" s="32" t="inlineStr">
        <is>
          <t>Kaynak view anlik durumu tutar (kadro gecmisi yok): kisinin BUGUNKU lokasyon etiketi her iki yila</t>
        </is>
      </c>
    </row>
    <row r="21">
      <c r="A21" s="32" t="inlineStr">
        <is>
          <t xml:space="preserve">   da uygulanir. Bu yuzden kapsam iki yilda tutarli, ama gecmis unvan/lokasyon degisimi izlenemez.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0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  <col width="10" customWidth="1" min="10" max="10"/>
    <col width="12" customWidth="1" min="11" max="11"/>
  </cols>
  <sheetData>
    <row r="1">
      <c r="A1" s="12" t="inlineStr">
        <is>
          <t>Bölüm bazında kadro — 31.08 kesimi, beş mağaza</t>
        </is>
      </c>
    </row>
    <row r="3" ht="30" customHeight="1">
      <c r="A3" s="13" t="inlineStr">
        <is>
          <t>Bolum</t>
        </is>
      </c>
      <c r="B3" s="13" t="inlineStr">
        <is>
          <t>Kadrolu 2025</t>
        </is>
      </c>
      <c r="C3" s="13" t="inlineStr">
        <is>
          <t>Kadrolu 2026</t>
        </is>
      </c>
      <c r="D3" s="13" t="inlineStr">
        <is>
          <t>Kadrolu Δ</t>
        </is>
      </c>
      <c r="E3" s="13" t="inlineStr">
        <is>
          <t>Sezonluk 2025</t>
        </is>
      </c>
      <c r="F3" s="13" t="inlineStr">
        <is>
          <t>Sezonluk 2026</t>
        </is>
      </c>
      <c r="G3" s="13" t="inlineStr">
        <is>
          <t>Sezonluk Δ</t>
        </is>
      </c>
      <c r="H3" s="13" t="inlineStr">
        <is>
          <t>Toplam 2025</t>
        </is>
      </c>
      <c r="I3" s="13" t="inlineStr">
        <is>
          <t>Toplam 2026</t>
        </is>
      </c>
      <c r="J3" s="13" t="inlineStr">
        <is>
          <t>Toplam Δ</t>
        </is>
      </c>
      <c r="K3" s="13" t="inlineStr">
        <is>
          <t>Sezonluk payi 2026</t>
        </is>
      </c>
    </row>
    <row r="4">
      <c r="A4" s="16" t="inlineStr">
        <is>
          <t>YARDIMCI KİTAP</t>
        </is>
      </c>
      <c r="B4" s="17" t="n">
        <v>24</v>
      </c>
      <c r="C4" s="17" t="n">
        <v>30</v>
      </c>
      <c r="D4" s="40">
        <f>C4-B4</f>
        <v/>
      </c>
      <c r="E4" s="17" t="n">
        <v>23</v>
      </c>
      <c r="F4" s="17" t="n">
        <v>19</v>
      </c>
      <c r="G4" s="40">
        <f>F4-E4</f>
        <v/>
      </c>
      <c r="H4" s="17">
        <f>B4+E4</f>
        <v/>
      </c>
      <c r="I4" s="17">
        <f>C4+F4</f>
        <v/>
      </c>
      <c r="J4" s="40">
        <f>I4-H4</f>
        <v/>
      </c>
      <c r="K4" s="42">
        <f>IF(I4=0,"",F4/I4)</f>
        <v/>
      </c>
    </row>
    <row r="5">
      <c r="A5" s="16" t="inlineStr">
        <is>
          <t>KIRTASİYE</t>
        </is>
      </c>
      <c r="B5" s="17" t="n">
        <v>22</v>
      </c>
      <c r="C5" s="17" t="n">
        <v>25</v>
      </c>
      <c r="D5" s="40">
        <f>C5-B5</f>
        <v/>
      </c>
      <c r="E5" s="17" t="n">
        <v>25</v>
      </c>
      <c r="F5" s="17" t="n">
        <v>22</v>
      </c>
      <c r="G5" s="40">
        <f>F5-E5</f>
        <v/>
      </c>
      <c r="H5" s="17">
        <f>B5+E5</f>
        <v/>
      </c>
      <c r="I5" s="17">
        <f>C5+F5</f>
        <v/>
      </c>
      <c r="J5" s="40">
        <f>I5-H5</f>
        <v/>
      </c>
      <c r="K5" s="42">
        <f>IF(I5=0,"",F5/I5)</f>
        <v/>
      </c>
    </row>
    <row r="6">
      <c r="A6" s="16" t="inlineStr">
        <is>
          <t>KÜLTÜR</t>
        </is>
      </c>
      <c r="B6" s="17" t="n">
        <v>19</v>
      </c>
      <c r="C6" s="17" t="n">
        <v>20</v>
      </c>
      <c r="D6" s="40">
        <f>C6-B6</f>
        <v/>
      </c>
      <c r="E6" s="17" t="n">
        <v>0</v>
      </c>
      <c r="F6" s="17" t="n">
        <v>2</v>
      </c>
      <c r="G6" s="40">
        <f>F6-E6</f>
        <v/>
      </c>
      <c r="H6" s="17">
        <f>B6+E6</f>
        <v/>
      </c>
      <c r="I6" s="17">
        <f>C6+F6</f>
        <v/>
      </c>
      <c r="J6" s="40">
        <f>I6-H6</f>
        <v/>
      </c>
      <c r="K6" s="42">
        <f>IF(I6=0,"",F6/I6)</f>
        <v/>
      </c>
    </row>
    <row r="7">
      <c r="A7" s="16" t="inlineStr">
        <is>
          <t>KASA</t>
        </is>
      </c>
      <c r="B7" s="17" t="n">
        <v>13</v>
      </c>
      <c r="C7" s="17" t="n">
        <v>15</v>
      </c>
      <c r="D7" s="40">
        <f>C7-B7</f>
        <v/>
      </c>
      <c r="E7" s="17" t="n">
        <v>9</v>
      </c>
      <c r="F7" s="17" t="n">
        <v>9</v>
      </c>
      <c r="G7" s="40">
        <f>F7-E7</f>
        <v/>
      </c>
      <c r="H7" s="17">
        <f>B7+E7</f>
        <v/>
      </c>
      <c r="I7" s="17">
        <f>C7+F7</f>
        <v/>
      </c>
      <c r="J7" s="40">
        <f>I7-H7</f>
        <v/>
      </c>
      <c r="K7" s="42">
        <f>IF(I7=0,"",F7/I7)</f>
        <v/>
      </c>
    </row>
    <row r="8">
      <c r="A8" s="16" t="inlineStr">
        <is>
          <t>ÇOCUK</t>
        </is>
      </c>
      <c r="B8" s="17" t="n">
        <v>15</v>
      </c>
      <c r="C8" s="17" t="n">
        <v>14</v>
      </c>
      <c r="D8" s="40">
        <f>C8-B8</f>
        <v/>
      </c>
      <c r="E8" s="17" t="n">
        <v>3</v>
      </c>
      <c r="F8" s="17" t="n">
        <v>5</v>
      </c>
      <c r="G8" s="40">
        <f>F8-E8</f>
        <v/>
      </c>
      <c r="H8" s="17">
        <f>B8+E8</f>
        <v/>
      </c>
      <c r="I8" s="17">
        <f>C8+F8</f>
        <v/>
      </c>
      <c r="J8" s="40">
        <f>I8-H8</f>
        <v/>
      </c>
      <c r="K8" s="42">
        <f>IF(I8=0,"",F8/I8)</f>
        <v/>
      </c>
    </row>
    <row r="9">
      <c r="A9" s="16" t="inlineStr">
        <is>
          <t>OYUNCAK</t>
        </is>
      </c>
      <c r="B9" s="17" t="n">
        <v>9</v>
      </c>
      <c r="C9" s="17" t="n">
        <v>10</v>
      </c>
      <c r="D9" s="40">
        <f>C9-B9</f>
        <v/>
      </c>
      <c r="E9" s="17" t="n">
        <v>0</v>
      </c>
      <c r="F9" s="17" t="n">
        <v>0</v>
      </c>
      <c r="G9" s="40">
        <f>F9-E9</f>
        <v/>
      </c>
      <c r="H9" s="17">
        <f>B9+E9</f>
        <v/>
      </c>
      <c r="I9" s="17">
        <f>C9+F9</f>
        <v/>
      </c>
      <c r="J9" s="40">
        <f>I9-H9</f>
        <v/>
      </c>
      <c r="K9" s="42">
        <f>IF(I9=0,"",F9/I9)</f>
        <v/>
      </c>
    </row>
    <row r="10">
      <c r="A10" s="16" t="inlineStr">
        <is>
          <t>AKADEMİ</t>
        </is>
      </c>
      <c r="B10" s="17" t="n">
        <v>7</v>
      </c>
      <c r="C10" s="17" t="n">
        <v>9</v>
      </c>
      <c r="D10" s="40">
        <f>C10-B10</f>
        <v/>
      </c>
      <c r="E10" s="17" t="n">
        <v>1</v>
      </c>
      <c r="F10" s="17" t="n">
        <v>0</v>
      </c>
      <c r="G10" s="40">
        <f>F10-E10</f>
        <v/>
      </c>
      <c r="H10" s="17">
        <f>B10+E10</f>
        <v/>
      </c>
      <c r="I10" s="17">
        <f>C10+F10</f>
        <v/>
      </c>
      <c r="J10" s="40">
        <f>I10-H10</f>
        <v/>
      </c>
      <c r="K10" s="42">
        <f>IF(I10=0,"",F10/I10)</f>
        <v/>
      </c>
    </row>
    <row r="11">
      <c r="A11" s="16" t="inlineStr">
        <is>
          <t>MAĞAZA</t>
        </is>
      </c>
      <c r="B11" s="17" t="n">
        <v>8</v>
      </c>
      <c r="C11" s="17" t="n">
        <v>8</v>
      </c>
      <c r="D11" s="40">
        <f>C11-B11</f>
        <v/>
      </c>
      <c r="E11" s="17" t="n">
        <v>0</v>
      </c>
      <c r="F11" s="17" t="n">
        <v>0</v>
      </c>
      <c r="G11" s="40">
        <f>F11-E11</f>
        <v/>
      </c>
      <c r="H11" s="17">
        <f>B11+E11</f>
        <v/>
      </c>
      <c r="I11" s="17">
        <f>C11+F11</f>
        <v/>
      </c>
      <c r="J11" s="40">
        <f>I11-H11</f>
        <v/>
      </c>
      <c r="K11" s="42">
        <f>IF(I11=0,"",F11/I11)</f>
        <v/>
      </c>
    </row>
    <row r="12">
      <c r="A12" s="16" t="inlineStr">
        <is>
          <t>MAL KABUL</t>
        </is>
      </c>
      <c r="B12" s="17" t="n">
        <v>6</v>
      </c>
      <c r="C12" s="17" t="n">
        <v>6</v>
      </c>
      <c r="D12" s="40">
        <f>C12-B12</f>
        <v/>
      </c>
      <c r="E12" s="17" t="n">
        <v>1</v>
      </c>
      <c r="F12" s="17" t="n">
        <v>1</v>
      </c>
      <c r="G12" s="40">
        <f>F12-E12</f>
        <v/>
      </c>
      <c r="H12" s="17">
        <f>B12+E12</f>
        <v/>
      </c>
      <c r="I12" s="17">
        <f>C12+F12</f>
        <v/>
      </c>
      <c r="J12" s="40">
        <f>I12-H12</f>
        <v/>
      </c>
      <c r="K12" s="42">
        <f>IF(I12=0,"",F12/I12)</f>
        <v/>
      </c>
    </row>
    <row r="13">
      <c r="A13" s="16" t="inlineStr">
        <is>
          <t>İDARİ İŞLER</t>
        </is>
      </c>
      <c r="B13" s="17" t="n">
        <v>6</v>
      </c>
      <c r="C13" s="17" t="n">
        <v>6</v>
      </c>
      <c r="D13" s="40">
        <f>C13-B13</f>
        <v/>
      </c>
      <c r="E13" s="17" t="n">
        <v>0</v>
      </c>
      <c r="F13" s="17" t="n">
        <v>0</v>
      </c>
      <c r="G13" s="40">
        <f>F13-E13</f>
        <v/>
      </c>
      <c r="H13" s="17">
        <f>B13+E13</f>
        <v/>
      </c>
      <c r="I13" s="17">
        <f>C13+F13</f>
        <v/>
      </c>
      <c r="J13" s="40">
        <f>I13-H13</f>
        <v/>
      </c>
      <c r="K13" s="42">
        <f>IF(I13=0,"",F13/I13)</f>
        <v/>
      </c>
    </row>
    <row r="14">
      <c r="A14" s="16" t="inlineStr">
        <is>
          <t>ETKİNLİK</t>
        </is>
      </c>
      <c r="B14" s="17" t="n">
        <v>2</v>
      </c>
      <c r="C14" s="17" t="n">
        <v>3</v>
      </c>
      <c r="D14" s="40">
        <f>C14-B14</f>
        <v/>
      </c>
      <c r="E14" s="17" t="n">
        <v>0</v>
      </c>
      <c r="F14" s="17" t="n">
        <v>0</v>
      </c>
      <c r="G14" s="40">
        <f>F14-E14</f>
        <v/>
      </c>
      <c r="H14" s="17">
        <f>B14+E14</f>
        <v/>
      </c>
      <c r="I14" s="17">
        <f>C14+F14</f>
        <v/>
      </c>
      <c r="J14" s="40">
        <f>I14-H14</f>
        <v/>
      </c>
      <c r="K14" s="42">
        <f>IF(I14=0,"",F14/I14)</f>
        <v/>
      </c>
    </row>
    <row r="15">
      <c r="A15" s="16" t="inlineStr">
        <is>
          <t>ŞURA</t>
        </is>
      </c>
      <c r="B15" s="17" t="n">
        <v>1</v>
      </c>
      <c r="C15" s="17" t="n">
        <v>3</v>
      </c>
      <c r="D15" s="40">
        <f>C15-B15</f>
        <v/>
      </c>
      <c r="E15" s="17" t="n">
        <v>0</v>
      </c>
      <c r="F15" s="17" t="n">
        <v>0</v>
      </c>
      <c r="G15" s="40">
        <f>F15-E15</f>
        <v/>
      </c>
      <c r="H15" s="17">
        <f>B15+E15</f>
        <v/>
      </c>
      <c r="I15" s="17">
        <f>C15+F15</f>
        <v/>
      </c>
      <c r="J15" s="40">
        <f>I15-H15</f>
        <v/>
      </c>
      <c r="K15" s="42">
        <f>IF(I15=0,"",F15/I15)</f>
        <v/>
      </c>
    </row>
    <row r="16">
      <c r="A16" s="16" t="inlineStr">
        <is>
          <t>ÖN MUHASEBE</t>
        </is>
      </c>
      <c r="B16" s="17" t="n">
        <v>1</v>
      </c>
      <c r="C16" s="17" t="n">
        <v>0</v>
      </c>
      <c r="D16" s="40">
        <f>C16-B16</f>
        <v/>
      </c>
      <c r="E16" s="17" t="n">
        <v>0</v>
      </c>
      <c r="F16" s="17" t="n">
        <v>0</v>
      </c>
      <c r="G16" s="40">
        <f>F16-E16</f>
        <v/>
      </c>
      <c r="H16" s="17">
        <f>B16+E16</f>
        <v/>
      </c>
      <c r="I16" s="17">
        <f>C16+F16</f>
        <v/>
      </c>
      <c r="J16" s="40">
        <f>I16-H16</f>
        <v/>
      </c>
      <c r="K16" s="42">
        <f>IF(I16=0,"",F16/I16)</f>
        <v/>
      </c>
    </row>
    <row r="17">
      <c r="A17" s="16" t="inlineStr">
        <is>
          <t>MUHASEBE</t>
        </is>
      </c>
      <c r="B17" s="17" t="n">
        <v>1</v>
      </c>
      <c r="C17" s="17" t="n">
        <v>0</v>
      </c>
      <c r="D17" s="40">
        <f>C17-B17</f>
        <v/>
      </c>
      <c r="E17" s="17" t="n">
        <v>0</v>
      </c>
      <c r="F17" s="17" t="n">
        <v>0</v>
      </c>
      <c r="G17" s="40">
        <f>F17-E17</f>
        <v/>
      </c>
      <c r="H17" s="17">
        <f>B17+E17</f>
        <v/>
      </c>
      <c r="I17" s="17">
        <f>C17+F17</f>
        <v/>
      </c>
      <c r="J17" s="40">
        <f>I17-H17</f>
        <v/>
      </c>
      <c r="K17" s="42">
        <f>IF(I17=0,"",F17/I17)</f>
        <v/>
      </c>
    </row>
    <row r="18">
      <c r="A18" s="16" t="inlineStr">
        <is>
          <t>BİLGİ İŞLEM</t>
        </is>
      </c>
      <c r="B18" s="17" t="n">
        <v>1</v>
      </c>
      <c r="C18" s="17" t="n">
        <v>0</v>
      </c>
      <c r="D18" s="40">
        <f>C18-B18</f>
        <v/>
      </c>
      <c r="E18" s="17" t="n">
        <v>0</v>
      </c>
      <c r="F18" s="17" t="n">
        <v>0</v>
      </c>
      <c r="G18" s="40">
        <f>F18-E18</f>
        <v/>
      </c>
      <c r="H18" s="17">
        <f>B18+E18</f>
        <v/>
      </c>
      <c r="I18" s="17">
        <f>C18+F18</f>
        <v/>
      </c>
      <c r="J18" s="40">
        <f>I18-H18</f>
        <v/>
      </c>
      <c r="K18" s="42">
        <f>IF(I18=0,"",F18/I18)</f>
        <v/>
      </c>
    </row>
    <row r="19">
      <c r="A19" s="16" t="inlineStr">
        <is>
          <t>KIYAFET</t>
        </is>
      </c>
      <c r="B19" s="17" t="n">
        <v>0</v>
      </c>
      <c r="C19" s="17" t="n">
        <v>0</v>
      </c>
      <c r="D19" s="40">
        <f>C19-B19</f>
        <v/>
      </c>
      <c r="E19" s="17" t="n">
        <v>3</v>
      </c>
      <c r="F19" s="17" t="n">
        <v>4</v>
      </c>
      <c r="G19" s="40">
        <f>F19-E19</f>
        <v/>
      </c>
      <c r="H19" s="17">
        <f>B19+E19</f>
        <v/>
      </c>
      <c r="I19" s="17">
        <f>C19+F19</f>
        <v/>
      </c>
      <c r="J19" s="40">
        <f>I19-H19</f>
        <v/>
      </c>
      <c r="K19" s="42">
        <f>IF(I19=0,"",F19/I19)</f>
        <v/>
      </c>
    </row>
    <row r="20">
      <c r="A20" s="36" t="inlineStr">
        <is>
          <t>TOPLAM</t>
        </is>
      </c>
      <c r="B20" s="21">
        <f>SUM(B4:B19)</f>
        <v/>
      </c>
      <c r="C20" s="21">
        <f>SUM(C4:C19)</f>
        <v/>
      </c>
      <c r="D20" s="30">
        <f>C20-B20</f>
        <v/>
      </c>
      <c r="E20" s="21">
        <f>SUM(E4:E19)</f>
        <v/>
      </c>
      <c r="F20" s="21">
        <f>SUM(F4:F19)</f>
        <v/>
      </c>
      <c r="G20" s="41">
        <f>F20-E20</f>
        <v/>
      </c>
      <c r="H20" s="21">
        <f>B20+E20</f>
        <v/>
      </c>
      <c r="I20" s="21">
        <f>C20+F20</f>
        <v/>
      </c>
      <c r="J20" s="41">
        <f>I20-H20</f>
        <v/>
      </c>
      <c r="K20" s="43">
        <f>IF(I20=0,"",F20/I20)</f>
        <v/>
      </c>
    </row>
    <row r="22">
      <c r="A22" s="32" t="inlineStr">
        <is>
          <t>OKUNACAK NOKTA: yonetim (MAGAZA departmani) ve MAL KABUL BUYUMEDI — artis satis/kasa tarafinda.</t>
        </is>
      </c>
    </row>
    <row r="23">
      <c r="A23" s="32" t="inlineStr">
        <is>
          <t>Sezonluk payi yuksek bolumler (KIRTASIYE, YARDIMCI KITAP, KIYAFET) sezon yuku tasiyan reyonlar;</t>
        </is>
      </c>
    </row>
    <row r="24">
      <c r="A24" s="32" t="inlineStr">
        <is>
          <t xml:space="preserve">   oradaki kisi artisi kalici kadro degil, Eylul sonunda tahliye edilir.</t>
        </is>
      </c>
    </row>
    <row r="25">
      <c r="A25" s="32" t="inlineStr">
        <is>
          <t>Bolum = Zirve 'Departman' alani (reyon). Bir kisi tek bolumde sayilir; toplam kapsam sayimiyla mutabik.</t>
        </is>
      </c>
    </row>
    <row r="26">
      <c r="A26" s="32" t="inlineStr">
        <is>
          <t>Devir (turnover) bolum bazinda AYRI olculdu: en bozuk COCUK %179 · IDARI ISLER %183 · KASA %160;</t>
        </is>
      </c>
    </row>
    <row r="27">
      <c r="A27" s="32" t="inlineStr">
        <is>
          <t xml:space="preserve">   MAGAZA (yonetim) %25 ve ayrilanin ortalama kidemi 4,7 yil -&gt; yonetim katmani stabil.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3" customWidth="1" min="3" max="3"/>
    <col width="13" customWidth="1" min="4" max="4"/>
    <col width="10" customWidth="1" min="5" max="5"/>
    <col width="14" customWidth="1" min="6" max="6"/>
    <col width="14" customWidth="1" min="7" max="7"/>
    <col width="10" customWidth="1" min="8" max="8"/>
    <col width="12" customWidth="1" min="9" max="9"/>
  </cols>
  <sheetData>
    <row r="1">
      <c r="A1" s="12" t="inlineStr">
        <is>
          <t>Kategori büyümesi ve o kategoriye bakan bölümün kadro değişimi</t>
        </is>
      </c>
    </row>
    <row r="3" ht="30" customHeight="1">
      <c r="A3" s="13" t="inlineStr">
        <is>
          <t>Kategori</t>
        </is>
      </c>
      <c r="B3" s="13" t="inlineStr">
        <is>
          <t>İlgili bölüm</t>
        </is>
      </c>
      <c r="C3" s="13" t="inlineStr">
        <is>
          <t>Adet 2025</t>
        </is>
      </c>
      <c r="D3" s="13" t="inlineStr">
        <is>
          <t>Adet 2026</t>
        </is>
      </c>
      <c r="E3" s="13" t="inlineStr">
        <is>
          <t>Adet Δ</t>
        </is>
      </c>
      <c r="F3" s="13" t="inlineStr">
        <is>
          <t>Ciro 2025 (M ₺)</t>
        </is>
      </c>
      <c r="G3" s="13" t="inlineStr">
        <is>
          <t>Ciro 2026 (M ₺)</t>
        </is>
      </c>
      <c r="H3" s="13" t="inlineStr">
        <is>
          <t>Ciro Δ</t>
        </is>
      </c>
      <c r="I3" s="13" t="inlineStr">
        <is>
          <t>Bölüm kadro Δ</t>
        </is>
      </c>
    </row>
    <row r="4">
      <c r="A4" s="16" t="inlineStr">
        <is>
          <t>Kırtasiye</t>
        </is>
      </c>
      <c r="B4" s="16" t="inlineStr">
        <is>
          <t>KIRTASİYE</t>
        </is>
      </c>
      <c r="C4" s="17" t="n">
        <v>222233</v>
      </c>
      <c r="D4" s="17" t="n">
        <v>296797</v>
      </c>
      <c r="E4" s="44">
        <f>D4/C4-1</f>
        <v/>
      </c>
      <c r="F4" s="34" t="n">
        <v>18.50432497000309</v>
      </c>
      <c r="G4" s="34" t="n">
        <v>32.38086690000132</v>
      </c>
      <c r="H4" s="44">
        <f>G4/F4-1</f>
        <v/>
      </c>
      <c r="I4" s="45" t="n">
        <v>3</v>
      </c>
    </row>
    <row r="5">
      <c r="A5" s="16" t="inlineStr">
        <is>
          <t>Çocuk Kitabı</t>
        </is>
      </c>
      <c r="B5" s="16" t="inlineStr">
        <is>
          <t>ÇOCUK</t>
        </is>
      </c>
      <c r="C5" s="17" t="n">
        <v>73247</v>
      </c>
      <c r="D5" s="17" t="n">
        <v>85696</v>
      </c>
      <c r="E5" s="44">
        <f>D5/C5-1</f>
        <v/>
      </c>
      <c r="F5" s="34" t="n">
        <v>10.02370844000002</v>
      </c>
      <c r="G5" s="34" t="n">
        <v>15.50422909000003</v>
      </c>
      <c r="H5" s="44">
        <f>G5/F5-1</f>
        <v/>
      </c>
      <c r="I5" s="45" t="n">
        <v>-1</v>
      </c>
    </row>
    <row r="6">
      <c r="A6" s="16" t="inlineStr">
        <is>
          <t>Kitap</t>
        </is>
      </c>
      <c r="B6" s="16" t="inlineStr">
        <is>
          <t>KÜLTÜR</t>
        </is>
      </c>
      <c r="C6" s="17" t="n">
        <v>66399</v>
      </c>
      <c r="D6" s="17" t="n">
        <v>83655</v>
      </c>
      <c r="E6" s="44">
        <f>D6/C6-1</f>
        <v/>
      </c>
      <c r="F6" s="34" t="n">
        <v>14.49106598999976</v>
      </c>
      <c r="G6" s="34" t="n">
        <v>23.14058788999983</v>
      </c>
      <c r="H6" s="44">
        <f>G6/F6-1</f>
        <v/>
      </c>
      <c r="I6" s="45" t="n">
        <v>1</v>
      </c>
    </row>
    <row r="7">
      <c r="A7" s="16" t="inlineStr">
        <is>
          <t>Genel</t>
        </is>
      </c>
      <c r="B7" s="16" t="inlineStr">
        <is>
          <t>—</t>
        </is>
      </c>
      <c r="C7" s="17" t="n">
        <v>50963.7</v>
      </c>
      <c r="D7" s="17" t="n">
        <v>65475.55</v>
      </c>
      <c r="E7" s="44">
        <f>D7/C7-1</f>
        <v/>
      </c>
      <c r="F7" s="34" t="n">
        <v>0.02740152000000001</v>
      </c>
      <c r="G7" s="34" t="n">
        <v>0.07535017999999999</v>
      </c>
      <c r="H7" s="44">
        <f>G7/F7-1</f>
        <v/>
      </c>
      <c r="I7" s="40" t="inlineStr">
        <is>
          <t>—</t>
        </is>
      </c>
    </row>
    <row r="8">
      <c r="A8" s="16" t="inlineStr">
        <is>
          <t>Oyuncak</t>
        </is>
      </c>
      <c r="B8" s="16" t="inlineStr">
        <is>
          <t>OYUNCAK</t>
        </is>
      </c>
      <c r="C8" s="17" t="n">
        <v>37135</v>
      </c>
      <c r="D8" s="17" t="n">
        <v>58662</v>
      </c>
      <c r="E8" s="44">
        <f>D8/C8-1</f>
        <v/>
      </c>
      <c r="F8" s="34" t="n">
        <v>11.13631268</v>
      </c>
      <c r="G8" s="34" t="n">
        <v>16.74884972000005</v>
      </c>
      <c r="H8" s="44">
        <f>G8/F8-1</f>
        <v/>
      </c>
      <c r="I8" s="45" t="n">
        <v>1</v>
      </c>
    </row>
    <row r="9">
      <c r="A9" s="16" t="inlineStr">
        <is>
          <t>Hediyelik</t>
        </is>
      </c>
      <c r="B9" s="16" t="inlineStr">
        <is>
          <t>KIRTASİYE / OYUNCAK</t>
        </is>
      </c>
      <c r="C9" s="17" t="n">
        <v>39836</v>
      </c>
      <c r="D9" s="17" t="n">
        <v>57747</v>
      </c>
      <c r="E9" s="44">
        <f>D9/C9-1</f>
        <v/>
      </c>
      <c r="F9" s="34" t="n">
        <v>1.475290260000007</v>
      </c>
      <c r="G9" s="34" t="n">
        <v>2.616103030000003</v>
      </c>
      <c r="H9" s="44">
        <f>G9/F9-1</f>
        <v/>
      </c>
      <c r="I9" s="40" t="inlineStr">
        <is>
          <t>—</t>
        </is>
      </c>
    </row>
    <row r="10">
      <c r="A10" s="16" t="inlineStr">
        <is>
          <t>Hazırlık Kitapları</t>
        </is>
      </c>
      <c r="B10" s="16" t="inlineStr">
        <is>
          <t>YARDIMCI KİTAP</t>
        </is>
      </c>
      <c r="C10" s="17" t="n">
        <v>38847</v>
      </c>
      <c r="D10" s="17" t="n">
        <v>54032</v>
      </c>
      <c r="E10" s="44">
        <f>D10/C10-1</f>
        <v/>
      </c>
      <c r="F10" s="34" t="n">
        <v>11.66512253999997</v>
      </c>
      <c r="G10" s="34" t="n">
        <v>22.35794457999995</v>
      </c>
      <c r="H10" s="44">
        <f>G10/F10-1</f>
        <v/>
      </c>
      <c r="I10" s="45" t="n">
        <v>6</v>
      </c>
    </row>
    <row r="11">
      <c r="A11" s="16" t="inlineStr">
        <is>
          <t>Gıda</t>
        </is>
      </c>
      <c r="B11" s="16" t="inlineStr">
        <is>
          <t>KAFE / GIDA</t>
        </is>
      </c>
      <c r="C11" s="17" t="n">
        <v>23729</v>
      </c>
      <c r="D11" s="17" t="n">
        <v>30608</v>
      </c>
      <c r="E11" s="44">
        <f>D11/C11-1</f>
        <v/>
      </c>
      <c r="F11" s="34" t="n">
        <v>0.69211733</v>
      </c>
      <c r="G11" s="34" t="n">
        <v>1.187673780000001</v>
      </c>
      <c r="H11" s="44">
        <f>G11/F11-1</f>
        <v/>
      </c>
      <c r="I11" s="40" t="inlineStr">
        <is>
          <t>—</t>
        </is>
      </c>
    </row>
    <row r="12">
      <c r="A12" s="16" t="inlineStr">
        <is>
          <t>Akademi</t>
        </is>
      </c>
      <c r="B12" s="16" t="inlineStr">
        <is>
          <t>AKADEMİ</t>
        </is>
      </c>
      <c r="C12" s="17" t="n">
        <v>7328</v>
      </c>
      <c r="D12" s="17" t="n">
        <v>24841</v>
      </c>
      <c r="E12" s="44">
        <f>D12/C12-1</f>
        <v/>
      </c>
      <c r="F12" s="34" t="n">
        <v>1.942142249999997</v>
      </c>
      <c r="G12" s="34" t="n">
        <v>6.643827519999998</v>
      </c>
      <c r="H12" s="44">
        <f>G12/F12-1</f>
        <v/>
      </c>
      <c r="I12" s="45" t="n">
        <v>2</v>
      </c>
    </row>
    <row r="13">
      <c r="A13" s="16" t="inlineStr">
        <is>
          <t>Kişisel Bakım</t>
        </is>
      </c>
      <c r="B13" s="16" t="inlineStr">
        <is>
          <t>—</t>
        </is>
      </c>
      <c r="C13" s="17" t="n">
        <v>4249</v>
      </c>
      <c r="D13" s="17" t="n">
        <v>9191</v>
      </c>
      <c r="E13" s="44">
        <f>D13/C13-1</f>
        <v/>
      </c>
      <c r="F13" s="34" t="n">
        <v>0.2846255699999998</v>
      </c>
      <c r="G13" s="34" t="n">
        <v>0.4203621899999996</v>
      </c>
      <c r="H13" s="44">
        <f>G13/F13-1</f>
        <v/>
      </c>
      <c r="I13" s="40" t="inlineStr">
        <is>
          <t>—</t>
        </is>
      </c>
    </row>
    <row r="14">
      <c r="A14" s="16" t="inlineStr">
        <is>
          <t>Elektronik</t>
        </is>
      </c>
      <c r="B14" s="16" t="inlineStr">
        <is>
          <t>—</t>
        </is>
      </c>
      <c r="C14" s="17" t="n">
        <v>7873</v>
      </c>
      <c r="D14" s="17" t="n">
        <v>5015</v>
      </c>
      <c r="E14" s="44">
        <f>D14/C14-1</f>
        <v/>
      </c>
      <c r="F14" s="34" t="n">
        <v>1.257655950000001</v>
      </c>
      <c r="G14" s="34" t="n">
        <v>0.9961937399999999</v>
      </c>
      <c r="H14" s="44">
        <f>G14/F14-1</f>
        <v/>
      </c>
      <c r="I14" s="40" t="inlineStr">
        <is>
          <t>—</t>
        </is>
      </c>
    </row>
    <row r="15">
      <c r="A15" s="16" t="inlineStr">
        <is>
          <t>Dergi</t>
        </is>
      </c>
      <c r="B15" s="16" t="inlineStr">
        <is>
          <t>—</t>
        </is>
      </c>
      <c r="C15" s="17" t="n">
        <v>2570</v>
      </c>
      <c r="D15" s="17" t="n">
        <v>2440</v>
      </c>
      <c r="E15" s="44">
        <f>D15/C15-1</f>
        <v/>
      </c>
      <c r="F15" s="34" t="n">
        <v>0.2656298399999998</v>
      </c>
      <c r="G15" s="34" t="n">
        <v>0.3784858199999995</v>
      </c>
      <c r="H15" s="44">
        <f>G15/F15-1</f>
        <v/>
      </c>
      <c r="I15" s="40" t="inlineStr">
        <is>
          <t>—</t>
        </is>
      </c>
    </row>
    <row r="16">
      <c r="A16" s="36" t="inlineStr">
        <is>
          <t>TOPLAM</t>
        </is>
      </c>
      <c r="B16" s="46" t="n"/>
      <c r="C16" s="21">
        <f>SUM(C4:C15)</f>
        <v/>
      </c>
      <c r="D16" s="21">
        <f>SUM(D4:D15)</f>
        <v/>
      </c>
      <c r="E16" s="37">
        <f>D16/C16-1</f>
        <v/>
      </c>
      <c r="F16" s="38">
        <f>SUM(F4:F15)</f>
        <v/>
      </c>
      <c r="G16" s="38">
        <f>SUM(G4:G15)</f>
        <v/>
      </c>
      <c r="H16" s="37">
        <f>G16/F16-1</f>
        <v/>
      </c>
    </row>
    <row r="18">
      <c r="A18" s="32" t="inlineStr">
        <is>
          <t>ESLESME: kategori (urun) -&gt; o urune bakan reyon (bolum). Kadro Δ o BOLUMUN kadrolu degisimidir.</t>
        </is>
      </c>
    </row>
    <row r="19">
      <c r="A19" s="32" t="inlineStr">
        <is>
          <t>OKUNACAK: kadro artisi en hizli buyuyen kategorilere gitti (Hazirlik Kitaplari, Kirtasiye, Akademi);</t>
        </is>
      </c>
    </row>
    <row r="20">
      <c r="A20" s="32" t="inlineStr">
        <is>
          <t xml:space="preserve">   en yavas buyuyen kategoride (Cocuk Kitabi) kadro AZALTILDI. Yani alim rastgele degil.</t>
        </is>
      </c>
    </row>
    <row r="21">
      <c r="A21" s="32" t="inlineStr">
        <is>
          <t>Kapsam: uc POS magazasi, okul-hizali pencere, Sinav haric, KDV dahil, iadeler dusulmus.</t>
        </is>
      </c>
    </row>
    <row r="22">
      <c r="A22" s="32" t="inlineStr">
        <is>
          <t>Toplam satiri yalniz bu tablodaki kategorilerin toplami (adet&gt;=2000 esigi altindaki kuyruk haric).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0" customWidth="1" min="4" max="4"/>
    <col width="14" customWidth="1" min="5" max="5"/>
    <col width="14" customWidth="1" min="6" max="6"/>
    <col width="10" customWidth="1" min="7" max="7"/>
  </cols>
  <sheetData>
    <row r="1">
      <c r="A1" s="12" t="inlineStr">
        <is>
          <t>Aylık seyir — takvim ayı (üç POS mağazası, Sınav hariç, KDV dahil)</t>
        </is>
      </c>
    </row>
    <row r="3" ht="30" customHeight="1">
      <c r="A3" s="13" t="inlineStr">
        <is>
          <t>Ay</t>
        </is>
      </c>
      <c r="B3" s="13" t="inlineStr">
        <is>
          <t>Adet 2025</t>
        </is>
      </c>
      <c r="C3" s="13" t="inlineStr">
        <is>
          <t>Adet 2026</t>
        </is>
      </c>
      <c r="D3" s="13" t="inlineStr">
        <is>
          <t>Adet Δ</t>
        </is>
      </c>
      <c r="E3" s="13" t="inlineStr">
        <is>
          <t>Ciro 2025 (M ₺)</t>
        </is>
      </c>
      <c r="F3" s="13" t="inlineStr">
        <is>
          <t>Ciro 2026 (M ₺)</t>
        </is>
      </c>
      <c r="G3" s="13" t="inlineStr">
        <is>
          <t>Ciro Δ</t>
        </is>
      </c>
    </row>
    <row r="4">
      <c r="A4" s="16" t="inlineStr">
        <is>
          <t>Haziran</t>
        </is>
      </c>
      <c r="B4" s="17" t="n">
        <v>286587.64</v>
      </c>
      <c r="C4" s="17" t="n">
        <v>376252</v>
      </c>
      <c r="D4" s="44">
        <f>C4/B4-1</f>
        <v/>
      </c>
      <c r="E4" s="34" t="n">
        <v>33.37095816000334</v>
      </c>
      <c r="F4" s="34" t="n">
        <v>49.92745520000055</v>
      </c>
      <c r="G4" s="44">
        <f>F4/E4-1</f>
        <v/>
      </c>
    </row>
    <row r="5">
      <c r="A5" s="16" t="inlineStr">
        <is>
          <t>Temmuz</t>
        </is>
      </c>
      <c r="B5" s="17" t="n">
        <v>269478</v>
      </c>
      <c r="C5" s="17" t="n">
        <v>367353</v>
      </c>
      <c r="D5" s="44">
        <f>C5/B5-1</f>
        <v/>
      </c>
      <c r="E5" s="34" t="n">
        <v>32.14602051000339</v>
      </c>
      <c r="F5" s="34" t="n">
        <v>55.81932909000083</v>
      </c>
      <c r="G5" s="44">
        <f>F5/E5-1</f>
        <v/>
      </c>
    </row>
    <row r="6">
      <c r="A6" s="16" t="inlineStr">
        <is>
          <t>Ağustos</t>
        </is>
      </c>
      <c r="B6" s="17" t="n">
        <v>458508.7</v>
      </c>
      <c r="C6" s="17" t="n">
        <v>483658.55</v>
      </c>
      <c r="D6" s="44">
        <f>C6/B6-1</f>
        <v/>
      </c>
      <c r="E6" s="34" t="n">
        <v>61.34527556000126</v>
      </c>
      <c r="F6" s="34" t="n">
        <v>78.15309667999897</v>
      </c>
      <c r="G6" s="44">
        <f>F6/E6-1</f>
        <v/>
      </c>
    </row>
    <row r="7">
      <c r="A7" s="36" t="inlineStr">
        <is>
          <t>TOPLAM</t>
        </is>
      </c>
      <c r="B7" s="21">
        <f>SUM(B4:B6)</f>
        <v/>
      </c>
      <c r="C7" s="21">
        <f>SUM(C4:C6)</f>
        <v/>
      </c>
      <c r="D7" s="37">
        <f>C7/B7-1</f>
        <v/>
      </c>
      <c r="E7" s="38">
        <f>SUM(E4:E6)</f>
        <v/>
      </c>
      <c r="F7" s="38">
        <f>SUM(F4:F6)</f>
        <v/>
      </c>
      <c r="G7" s="37">
        <f>F7/E7-1</f>
        <v/>
      </c>
    </row>
    <row r="9">
      <c r="A9" s="47" t="inlineStr">
        <is>
          <t>OKUL KAYMASI DÜZELTMESİ</t>
        </is>
      </c>
    </row>
    <row r="10">
      <c r="A10" s="16" t="inlineStr">
        <is>
          <t>Hizalı pencere (aynı talep gününe denk gelen günler)</t>
        </is>
      </c>
      <c r="B10" s="16" t="inlineStr">
        <is>
          <t>01.08 – 26.08.2025  vs  07.08 – 01.09.2026  (26 gün)</t>
        </is>
      </c>
      <c r="C10" s="48" t="n"/>
      <c r="D10" s="48" t="n"/>
      <c r="E10" s="48" t="n"/>
      <c r="F10" s="48" t="n"/>
      <c r="G10" s="49" t="n"/>
    </row>
    <row r="11">
      <c r="A11" s="16" t="inlineStr">
        <is>
          <t>Hizalı pencerede büyüme</t>
        </is>
      </c>
      <c r="B11" s="16" t="inlineStr">
        <is>
          <t>adet +%34.6 · ciro +%67.7</t>
        </is>
      </c>
      <c r="C11" s="48" t="n"/>
      <c r="D11" s="48" t="n"/>
      <c r="E11" s="48" t="n"/>
      <c r="F11" s="48" t="n"/>
      <c r="G11" s="49" t="n"/>
    </row>
    <row r="12">
      <c r="A12" s="16" t="inlineStr">
        <is>
          <t>Ağustos 2025 (gerçek)</t>
        </is>
      </c>
      <c r="B12" s="16" t="inlineStr">
        <is>
          <t>458.509 adet · 61.3 M TL</t>
        </is>
      </c>
      <c r="C12" s="48" t="n"/>
      <c r="D12" s="48" t="n"/>
      <c r="E12" s="48" t="n"/>
      <c r="F12" s="48" t="n"/>
      <c r="G12" s="49" t="n"/>
    </row>
    <row r="13">
      <c r="A13" s="16" t="inlineStr">
        <is>
          <t>Ağustos 2026 (gerçek)</t>
        </is>
      </c>
      <c r="B13" s="16" t="inlineStr">
        <is>
          <t>483.659 adet · 78.2 M TL  (adet +%5.5)</t>
        </is>
      </c>
      <c r="C13" s="48" t="n"/>
      <c r="D13" s="48" t="n"/>
      <c r="E13" s="48" t="n"/>
      <c r="F13" s="48" t="n"/>
      <c r="G13" s="49" t="n"/>
    </row>
    <row r="14">
      <c r="A14" s="50" t="inlineStr">
        <is>
          <t>Ağustos 2026 — KAYMA OLMASAYDI (tahmin)</t>
        </is>
      </c>
      <c r="B14" s="51" t="inlineStr">
        <is>
          <t>617.297 adet · 102.9 M TL</t>
        </is>
      </c>
      <c r="C14" s="48" t="n"/>
      <c r="D14" s="48" t="n"/>
      <c r="E14" s="48" t="n"/>
      <c r="F14" s="48" t="n"/>
      <c r="G14" s="49" t="n"/>
    </row>
    <row r="15">
      <c r="A15" s="50" t="inlineStr">
        <is>
          <t>EYLÜL'E KAYAN (tahmin)</t>
        </is>
      </c>
      <c r="B15" s="51" t="inlineStr">
        <is>
          <t>133.638 adet · 24.7 M TL</t>
        </is>
      </c>
      <c r="C15" s="48" t="n"/>
      <c r="D15" s="48" t="n"/>
      <c r="E15" s="48" t="n"/>
      <c r="F15" s="48" t="n"/>
      <c r="G15" s="49" t="n"/>
    </row>
    <row r="16">
      <c r="A16" s="16" t="inlineStr">
        <is>
          <t>Okul öncesi dalga — 2025 gerçekleşen (27.08 - 07.09.2025)</t>
        </is>
      </c>
      <c r="B16" s="16" t="inlineStr">
        <is>
          <t>431.358 adet · 56.9 M TL</t>
        </is>
      </c>
      <c r="C16" s="48" t="n"/>
      <c r="D16" s="48" t="n"/>
      <c r="E16" s="48" t="n"/>
      <c r="F16" s="48" t="n"/>
      <c r="G16" s="49" t="n"/>
    </row>
    <row r="17">
      <c r="A17" s="50" t="inlineStr">
        <is>
          <t>Okul öncesi dalga — 2026 beklenen (02.09 - 13.09.2026)</t>
        </is>
      </c>
      <c r="B17" s="51" t="inlineStr">
        <is>
          <t>580.744 adet · 95.5 M TL</t>
        </is>
      </c>
      <c r="C17" s="48" t="n"/>
      <c r="D17" s="48" t="n"/>
      <c r="E17" s="48" t="n"/>
      <c r="F17" s="48" t="n"/>
      <c r="G17" s="49" t="n"/>
    </row>
    <row r="19" ht="42" customHeight="1">
      <c r="A19" s="11" t="inlineStr">
        <is>
          <t>Yöntem: 2026 günleri 2025'in 6 gün öncesine denk gelir (açılış 08.09.2025 → 14.09.2026). Hizalı 27 günde ölçülen büyüme (adet %34.6 · ciro %67.7) 2025 Ağustos toplamına uygulanarak kayma-arındırılmış Ağustos bulunur. VARSAYIM: talep kaybı yok, yalnız zamanlama kaydı. Bugünün verisi HARİÇ (eTip 100 gün içinde yeniden yazılır); son tam gün 01.09.2026.</t>
        </is>
      </c>
    </row>
    <row r="22">
      <c r="A22" s="32" t="inlineStr">
        <is>
          <t>AGUSTOS NEDEN ZAYIF GORUNUYOR: okullar 2025'te 8 Eylul, 2026'da 14 Eylul acildi (6 gun kayma).</t>
        </is>
      </c>
    </row>
    <row r="23">
      <c r="A23" s="32" t="inlineStr">
        <is>
          <t xml:space="preserve">   2025'in son-Agustos alis dalgasi 2026'da EYLUL'e kaydi -&gt; takvim ayi kiyasinda Agustos dusuk cikar.</t>
        </is>
      </c>
    </row>
    <row r="24">
      <c r="A24" s="32" t="inlineStr">
        <is>
          <t xml:space="preserve">   Temmuz +%36,3 adet, Agustos +%5,5 adet: fark talep kaybi degil, TAKVIM.</t>
        </is>
      </c>
    </row>
    <row r="25">
      <c r="A25" s="32" t="inlineStr">
        <is>
          <t>Dogru kiyas okul-acilisina hizali penceredir (Ozet sayfasi): adet +%34,9 · ciro +%70,7.</t>
        </is>
      </c>
    </row>
    <row r="26">
      <c r="A26" s="32" t="inlineStr">
        <is>
          <t>Bu sayfa 'ay ay ne oldu' sorusunun cevabidir; kadro kiyasinda hizali pencere kullanilir.</t>
        </is>
      </c>
    </row>
  </sheetData>
  <mergeCells count="9">
    <mergeCell ref="B16:G16"/>
    <mergeCell ref="B10:G10"/>
    <mergeCell ref="B14:G14"/>
    <mergeCell ref="B17:G17"/>
    <mergeCell ref="B12:G12"/>
    <mergeCell ref="B13:G13"/>
    <mergeCell ref="A19:G19"/>
    <mergeCell ref="B15:G15"/>
    <mergeCell ref="B11:G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16" customWidth="1" min="3" max="3"/>
    <col width="12" customWidth="1" min="4" max="4"/>
    <col width="13" customWidth="1" min="5" max="5"/>
  </cols>
  <sheetData>
    <row r="1">
      <c r="A1" s="12" t="inlineStr">
        <is>
          <t>Kisi basi is — 4 yillik trend (uc POS magazasi, Ocak-Agustos kumulatif, Sinav haric)</t>
        </is>
      </c>
    </row>
    <row r="3" ht="30" customHeight="1">
      <c r="A3" s="13" t="inlineStr">
        <is>
          <t>Yil</t>
        </is>
      </c>
      <c r="B3" s="13" t="inlineStr">
        <is>
          <t>Kadrolu (31.08)</t>
        </is>
      </c>
      <c r="C3" s="13" t="inlineStr">
        <is>
          <t>Urun adedi (Oca-Agu)</t>
        </is>
      </c>
      <c r="D3" s="13" t="inlineStr">
        <is>
          <t>Adet / kisi</t>
        </is>
      </c>
      <c r="E3" s="13" t="inlineStr">
        <is>
          <t>Onceki yila gore</t>
        </is>
      </c>
    </row>
    <row r="4">
      <c r="A4" s="16" t="n">
        <v>2023</v>
      </c>
      <c r="B4" s="17" t="n">
        <v>60</v>
      </c>
      <c r="C4" s="17" t="n">
        <v>2064284.43</v>
      </c>
      <c r="D4" s="52">
        <f>C4/B4</f>
        <v/>
      </c>
      <c r="E4" s="16" t="inlineStr">
        <is>
          <t>—</t>
        </is>
      </c>
    </row>
    <row r="5">
      <c r="A5" s="16" t="n">
        <v>2024</v>
      </c>
      <c r="B5" s="17" t="n">
        <v>91</v>
      </c>
      <c r="C5" s="17" t="n">
        <v>2296833.43</v>
      </c>
      <c r="D5" s="52">
        <f>C5/B5</f>
        <v/>
      </c>
      <c r="E5" s="19">
        <f>D5/D4-1</f>
        <v/>
      </c>
    </row>
    <row r="6">
      <c r="A6" s="16" t="n">
        <v>2025</v>
      </c>
      <c r="B6" s="17" t="n">
        <v>96</v>
      </c>
      <c r="C6" s="17" t="n">
        <v>2752385.04</v>
      </c>
      <c r="D6" s="52">
        <f>C6/B6</f>
        <v/>
      </c>
      <c r="E6" s="19">
        <f>D6/D5-1</f>
        <v/>
      </c>
    </row>
    <row r="7">
      <c r="A7" s="16" t="n">
        <v>2026</v>
      </c>
      <c r="B7" s="17" t="n">
        <v>111</v>
      </c>
      <c r="C7" s="17" t="n">
        <v>3607308.91</v>
      </c>
      <c r="D7" s="52">
        <f>C7/B7</f>
        <v/>
      </c>
      <c r="E7" s="19">
        <f>D7/D6-1</f>
        <v/>
      </c>
    </row>
    <row r="9">
      <c r="A9" s="32" t="inlineStr">
        <is>
          <t>2024 ATLAMASI: kadrolu 60 -&gt; 91, adet yalniz +%11 -&gt; kisi basi is -%27. Kadro sismesi 2024'te oldu.</t>
        </is>
      </c>
    </row>
    <row r="10">
      <c r="A10" s="32" t="inlineStr">
        <is>
          <t>AMA 2023 verimliligi 'norm' DEGIL: 2023'te FSM kasada 0 kisi, Ozluce kasada 1 kisi vardi (eksik kadroyla calisma).</t>
        </is>
      </c>
    </row>
    <row r="11">
      <c r="A11" s="32" t="inlineStr">
        <is>
          <t>2024 -&gt; 2026: kisi basi is +%28,8 toparlanma. Bu yil kadro +15 kisi buyurken kisi basi is de artti.</t>
        </is>
      </c>
    </row>
    <row r="12">
      <c r="A12" s="32" t="inlineStr">
        <is>
          <t>Bu sayfada kadro yalniz KADROLU (sezonluk haric) — yillar arasi sezonluk tahliye zamanlamasi kiyasi bozuyor.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0" customWidth="1" min="4" max="4"/>
    <col width="17" customWidth="1" min="5" max="5"/>
    <col width="17" customWidth="1" min="6" max="6"/>
    <col width="10" customWidth="1" min="7" max="7"/>
  </cols>
  <sheetData>
    <row r="1">
      <c r="A1" s="12" t="inlineStr">
        <is>
          <t>"Buyume kurumsaldan geldi" itirazinin cevabi — Ocak-Agustos, uc POS magazasi</t>
        </is>
      </c>
    </row>
    <row r="3" ht="30" customHeight="1">
      <c r="A3" s="13" t="inlineStr">
        <is>
          <t>Kanal</t>
        </is>
      </c>
      <c r="B3" s="13" t="inlineStr">
        <is>
          <t>Adet 2025</t>
        </is>
      </c>
      <c r="C3" s="13" t="inlineStr">
        <is>
          <t>Adet 2026</t>
        </is>
      </c>
      <c r="D3" s="13" t="inlineStr">
        <is>
          <t>Adet Δ%</t>
        </is>
      </c>
      <c r="E3" s="13" t="inlineStr">
        <is>
          <t>Ciro 2025 (KDV dahil)</t>
        </is>
      </c>
      <c r="F3" s="13" t="inlineStr">
        <is>
          <t>Ciro 2026 (KDV dahil)</t>
        </is>
      </c>
      <c r="G3" s="13" t="inlineStr">
        <is>
          <t>Ciro Δ%</t>
        </is>
      </c>
    </row>
    <row r="4">
      <c r="A4" s="16" t="inlineStr">
        <is>
          <t>Magaza (perakende raf)</t>
        </is>
      </c>
      <c r="B4" s="17" t="n">
        <v>2752385.04</v>
      </c>
      <c r="C4" s="17" t="n">
        <v>3607308.91</v>
      </c>
      <c r="D4" s="19">
        <f>C4/B4-1</f>
        <v/>
      </c>
      <c r="E4" s="17" t="n">
        <v>316059798.2202022</v>
      </c>
      <c r="F4" s="17" t="n">
        <v>489433287.7802206</v>
      </c>
      <c r="G4" s="19">
        <f>F4/E4-1</f>
        <v/>
      </c>
    </row>
    <row r="5">
      <c r="A5" s="16" t="inlineStr">
        <is>
          <t>Sinav Okullari (kurumsal)</t>
        </is>
      </c>
      <c r="B5" s="17" t="n">
        <v>33584</v>
      </c>
      <c r="C5" s="17" t="n">
        <v>21693</v>
      </c>
      <c r="D5" s="19">
        <f>C5/B5-1</f>
        <v/>
      </c>
      <c r="E5" s="17" t="n">
        <v>136108071.4499999</v>
      </c>
      <c r="F5" s="17" t="n">
        <v>105575646.1100001</v>
      </c>
      <c r="G5" s="19">
        <f>F5/E5-1</f>
        <v/>
      </c>
    </row>
    <row r="6">
      <c r="A6" s="36" t="inlineStr">
        <is>
          <t>TOPLAM</t>
        </is>
      </c>
      <c r="B6" s="21">
        <f>SUM(B4:B5)</f>
        <v/>
      </c>
      <c r="C6" s="21">
        <f>SUM(C4:C5)</f>
        <v/>
      </c>
      <c r="D6" s="37">
        <f>C6/B6-1</f>
        <v/>
      </c>
      <c r="E6" s="21">
        <f>SUM(E4:E5)</f>
        <v/>
      </c>
      <c r="F6" s="21">
        <f>SUM(F4:F5)</f>
        <v/>
      </c>
      <c r="G6" s="37">
        <f>F6/E6-1</f>
        <v/>
      </c>
    </row>
    <row r="8">
      <c r="A8" s="32" t="inlineStr">
        <is>
          <t>Sinav Okullari KUCULDU (adet -%35, ciro -%22). Buyumenin tamami magaza rafindan geldi.</t>
        </is>
      </c>
    </row>
    <row r="9">
      <c r="A9" s="32" t="inlineStr">
        <is>
          <t>Magaza tarafi kurumsal dususu de kapatti: toplam yine buyudu.</t>
        </is>
      </c>
    </row>
    <row r="10">
      <c r="A10" s="32" t="inlineStr">
        <is>
          <t>Sinav = Kategori3 'Sinav Okullari' + 'Sinav Kiyafet'; ayni POS belgesi icinde geldigi icin AYIKLANMASI zorunlu.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4" customWidth="1" min="1" max="1"/>
    <col width="118" customWidth="1" min="2" max="2"/>
  </cols>
  <sheetData>
    <row r="1">
      <c r="A1" s="12" t="inlineStr">
        <is>
          <t>Yontem ve kaynaklar</t>
        </is>
      </c>
    </row>
    <row r="3" ht="30" customHeight="1">
      <c r="A3" s="53" t="inlineStr">
        <is>
          <t>Baslik</t>
        </is>
      </c>
      <c r="B3" s="54" t="inlineStr">
        <is>
          <t>Kişi başı iş hacmi — sezon 2026 vs 2025</t>
        </is>
      </c>
    </row>
    <row r="4" ht="30" customHeight="1">
      <c r="A4" s="53" t="inlineStr">
        <is>
          <t>Kesim tarihi</t>
        </is>
      </c>
      <c r="B4" s="54" t="inlineStr">
        <is>
          <t>otomatik (veri sonu, okul-hizalı pencerede)</t>
        </is>
      </c>
    </row>
    <row r="5" ht="30" customHeight="1">
      <c r="A5" s="53" t="inlineStr">
        <is>
          <t>Pencere</t>
        </is>
      </c>
      <c r="B5" s="54" t="inlineStr">
        <is>
          <t>Okul açılışına hizalı — 2025: 01.07.2025 – 25.08.2025 · 2026: 07.07.2026 – 31.08.2026 (her iki yıl 56 gün; açılış 20250908 ve 20260914, gün ofseti -69..-14)</t>
        </is>
      </c>
    </row>
    <row r="6" ht="30" customHeight="1">
      <c r="A6" s="53" t="inlineStr">
        <is>
          <t>Kadro kaynagi</t>
        </is>
      </c>
      <c r="B6" s="54" t="inlineStr">
        <is>
          <t>Zirve BKM_GENEL.dbo.vw_PersonelDepartman — as-of Igt &lt;= T AND (Ict IS NULL OR Ict &gt;= T), sp_PersonelKarsilastirma_Ozet ile birebir</t>
        </is>
      </c>
    </row>
    <row r="7" ht="30" customHeight="1">
      <c r="A7" s="53" t="inlineStr">
        <is>
          <t>Is hacmi kaynagi</t>
        </is>
      </c>
      <c r="B7" s="54" t="inlineStr">
        <is>
          <t>DerinSIS irs/irsAyr eTip=100 (POS satışı), Sınav Okulları/Kıyafet hariç, iade netlenmiş</t>
        </is>
      </c>
    </row>
    <row r="8" ht="30" customHeight="1">
      <c r="A8" s="53" t="inlineStr">
        <is>
          <t>Cekirdek SQL</t>
        </is>
      </c>
      <c r="B8" s="54" t="inlineStr">
        <is>
          <t>sorgular/2026-09-02-kadro-vs-is-hacmi-savunma.sql (blok 11)</t>
        </is>
      </c>
    </row>
    <row r="10">
      <c r="A10" s="47" t="inlineStr">
        <is>
          <t>Dikkat edilecekler</t>
        </is>
      </c>
    </row>
    <row r="11" ht="28" customHeight="1">
      <c r="B11" s="55" t="inlineStr">
        <is>
          <t>• Ürün adedi enflasyondan bağımsız — kadro kıyasında birincil ölçüt. Ciro ikincil (fiyat endeksi +%19,8, Fisher, eşleşen ürün).</t>
        </is>
      </c>
    </row>
    <row r="12" ht="28" customHeight="1">
      <c r="B12" s="55" t="inlineStr">
        <is>
          <t>• Kıyas okul açılışına hizalı yapılır. Takvim tarihine göre kıyas 2026'da yapay düşüş gösterir: açılış 8 Eylül 2025'ten 14 Eylül 2026'ya, 6 gün kaydı.</t>
        </is>
      </c>
    </row>
    <row r="13" ht="28" customHeight="1">
      <c r="B13" s="55" t="inlineStr">
        <is>
          <t>• İş hacmi EncoreMerkez POS'tan DEĞİL DerinSIS'ten alınır: POS Temmuz 2025'te değişti (ENPOS → EncoreMerkez), EncoreMerkez'in 2025 tabanı eksik.</t>
        </is>
      </c>
    </row>
    <row r="14" ht="28" customHeight="1">
      <c r="B14" s="55" t="inlineStr">
        <is>
          <t>• Heykel ve Şura POS raporlamasında yok — mağaza sayfası üç POS mağazası (FSM · Özlüce · İst. Yolu). Beş mağaza kadro hareketi Özet'te ayrı.</t>
        </is>
      </c>
    </row>
    <row r="15" ht="28" customHeight="1">
      <c r="B15" s="55" t="inlineStr">
        <is>
          <t>• Kadro = o tarihte fiilen çalışan kişi (sezonluk + kadrolu). Kişi başı oranlar kasiyer değil TÜM mağaza kadrosu üzerinden.</t>
        </is>
      </c>
    </row>
    <row r="16" ht="28" customHeight="1">
      <c r="B16" s="55" t="inlineStr">
        <is>
          <t>• Fiş sayısı bu kaynakta yok: eTip 100 günlük özet belgedir (bir gün = bir belge).</t>
        </is>
      </c>
    </row>
    <row r="17" ht="28" customHeight="1">
      <c r="B17" s="55" t="inlineStr">
        <is>
          <t>• Kıdem → verimlilik testi NEGATİF çıktı: aynı kasiyerin öğrenme eğrisi düz (220 → 256 → 242 fiş/gün), mağaza kıdem sıralaması verimlilikle uyuşmuyor. 'Tecrübeli 1 kişi = acemi 3 kişi' iddiası bu veriyle savunulamaz.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2026-09-02T17:19:29Z</dcterms:created>
  <dcterms:modified xmlns:dcterms="http://purl.org/dc/terms/" xmlns:xsi="http://www.w3.org/2001/XMLSchema-instance" xsi:type="dcterms:W3CDTF">2026-09-02T17:19:29Z</dcterms:modified>
</cp:coreProperties>
</file>