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a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E30622"/>
      </patternFill>
    </fill>
    <fill>
      <patternFill patternType="solid">
        <fgColor rgb="00F2F2F2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" fontId="0" fillId="0" borderId="1" pivotButton="0" quotePrefix="0" xfId="0"/>
    <xf numFmtId="3" fontId="0" fillId="0" borderId="1" pivotButton="0" quotePrefix="0" xfId="0"/>
    <xf numFmtId="0" fontId="2" fillId="3" borderId="1" pivotButton="0" quotePrefix="0" xfId="0"/>
    <xf numFmtId="1" fontId="2" fillId="3" borderId="1" pivotButton="0" quotePrefix="0" xfId="0"/>
    <xf numFmtId="3" fontId="2" fillId="3" borderId="1" pivotButton="0" quotePrefix="0" xfId="0"/>
    <xf numFmtId="0" fontId="2" fillId="4" borderId="1" pivotButton="0" quotePrefix="0" xfId="0"/>
    <xf numFmtId="1" fontId="2" fillId="4" borderId="1" pivotButton="0" quotePrefix="0" xfId="0"/>
    <xf numFmtId="3" fontId="2" fillId="4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2" customWidth="1" min="15" max="15"/>
    <col width="15" customWidth="1" min="16" max="16"/>
    <col width="15" customWidth="1" min="17" max="17"/>
  </cols>
  <sheetData>
    <row r="1" ht="20" customHeight="1">
      <c r="A1" s="1" t="inlineStr"/>
      <c r="B1" s="1" t="inlineStr">
        <is>
          <t>30.06</t>
        </is>
      </c>
      <c r="C1" s="1" t="n"/>
      <c r="D1" s="1" t="inlineStr">
        <is>
          <t>Sezon 31.08</t>
        </is>
      </c>
      <c r="E1" s="1" t="n"/>
      <c r="F1" s="1" t="inlineStr">
        <is>
          <t>Kadro 31.08</t>
        </is>
      </c>
      <c r="G1" s="1" t="n"/>
      <c r="H1" s="1" t="inlineStr">
        <is>
          <t>Toplam 31.08</t>
        </is>
      </c>
      <c r="I1" s="1" t="n"/>
      <c r="J1" s="1" t="inlineStr">
        <is>
          <t>Fis</t>
        </is>
      </c>
      <c r="K1" s="1" t="n"/>
      <c r="L1" s="1" t="inlineStr">
        <is>
          <t>Kalem</t>
        </is>
      </c>
      <c r="M1" s="1" t="n"/>
      <c r="N1" s="1" t="inlineStr">
        <is>
          <t>Urun adedi</t>
        </is>
      </c>
      <c r="O1" s="1" t="n"/>
      <c r="P1" s="1" t="inlineStr">
        <is>
          <t>Net ciro (TL)</t>
        </is>
      </c>
      <c r="Q1" s="1" t="n"/>
    </row>
    <row r="2" ht="16" customHeight="1">
      <c r="A2" s="1" t="n"/>
      <c r="B2" s="1" t="inlineStr">
        <is>
          <t>2025</t>
        </is>
      </c>
      <c r="C2" s="1" t="inlineStr">
        <is>
          <t>2026</t>
        </is>
      </c>
      <c r="D2" s="1" t="inlineStr">
        <is>
          <t>2025</t>
        </is>
      </c>
      <c r="E2" s="1" t="inlineStr">
        <is>
          <t>2026</t>
        </is>
      </c>
      <c r="F2" s="1" t="inlineStr">
        <is>
          <t>2025</t>
        </is>
      </c>
      <c r="G2" s="1" t="inlineStr">
        <is>
          <t>2026</t>
        </is>
      </c>
      <c r="H2" s="1" t="inlineStr">
        <is>
          <t>2025</t>
        </is>
      </c>
      <c r="I2" s="1" t="inlineStr">
        <is>
          <t>2026</t>
        </is>
      </c>
      <c r="J2" s="1" t="inlineStr">
        <is>
          <t>2025</t>
        </is>
      </c>
      <c r="K2" s="1" t="inlineStr">
        <is>
          <t>2026</t>
        </is>
      </c>
      <c r="L2" s="1" t="inlineStr">
        <is>
          <t>2025</t>
        </is>
      </c>
      <c r="M2" s="1" t="inlineStr">
        <is>
          <t>2026</t>
        </is>
      </c>
      <c r="N2" s="1" t="inlineStr">
        <is>
          <t>2025</t>
        </is>
      </c>
      <c r="O2" s="1" t="inlineStr">
        <is>
          <t>2026</t>
        </is>
      </c>
      <c r="P2" s="1" t="inlineStr">
        <is>
          <t>2025</t>
        </is>
      </c>
      <c r="Q2" s="1" t="inlineStr">
        <is>
          <t>2026</t>
        </is>
      </c>
    </row>
    <row r="3">
      <c r="A3" s="2" t="inlineStr">
        <is>
          <t>IST. YOLU</t>
        </is>
      </c>
      <c r="B3" s="3" t="n">
        <v>29</v>
      </c>
      <c r="C3" s="3" t="n">
        <v>35</v>
      </c>
      <c r="D3" s="3" t="n">
        <v>23</v>
      </c>
      <c r="E3" s="3" t="n">
        <v>25</v>
      </c>
      <c r="F3" s="3" t="n">
        <v>27</v>
      </c>
      <c r="G3" s="3" t="n">
        <v>36</v>
      </c>
      <c r="H3" s="3" t="n">
        <v>50</v>
      </c>
      <c r="I3" s="3" t="n">
        <v>61</v>
      </c>
      <c r="J3" s="4" t="n">
        <v>26266</v>
      </c>
      <c r="K3" s="4" t="n">
        <v>41656</v>
      </c>
      <c r="L3" s="4" t="n">
        <v>122521</v>
      </c>
      <c r="M3" s="4" t="n">
        <v>193759</v>
      </c>
      <c r="N3" s="4" t="n">
        <v>148478</v>
      </c>
      <c r="O3" s="4" t="n">
        <v>232556</v>
      </c>
      <c r="P3" s="4" t="n">
        <v>19439732</v>
      </c>
      <c r="Q3" s="4" t="n">
        <v>33862497</v>
      </c>
    </row>
    <row r="4">
      <c r="A4" s="2" t="inlineStr">
        <is>
          <t>OZLUCE</t>
        </is>
      </c>
      <c r="B4" s="3" t="n">
        <v>39</v>
      </c>
      <c r="C4" s="3" t="n">
        <v>44</v>
      </c>
      <c r="D4" s="3" t="n">
        <v>15</v>
      </c>
      <c r="E4" s="3" t="n">
        <v>13</v>
      </c>
      <c r="F4" s="3" t="n">
        <v>36</v>
      </c>
      <c r="G4" s="3" t="n">
        <v>42</v>
      </c>
      <c r="H4" s="3" t="n">
        <v>51</v>
      </c>
      <c r="I4" s="3" t="n">
        <v>55</v>
      </c>
      <c r="J4" s="4" t="n">
        <v>36179</v>
      </c>
      <c r="K4" s="4" t="n">
        <v>62188</v>
      </c>
      <c r="L4" s="4" t="n">
        <v>166018</v>
      </c>
      <c r="M4" s="4" t="n">
        <v>276307</v>
      </c>
      <c r="N4" s="4" t="n">
        <v>200400</v>
      </c>
      <c r="O4" s="4" t="n">
        <v>326764</v>
      </c>
      <c r="P4" s="4" t="n">
        <v>24059037</v>
      </c>
      <c r="Q4" s="4" t="n">
        <v>48262532</v>
      </c>
    </row>
    <row r="5">
      <c r="A5" s="2" t="inlineStr">
        <is>
          <t>FSM</t>
        </is>
      </c>
      <c r="B5" s="3" t="n">
        <v>34</v>
      </c>
      <c r="C5" s="3" t="n">
        <v>35</v>
      </c>
      <c r="D5" s="3" t="n">
        <v>9</v>
      </c>
      <c r="E5" s="3" t="n">
        <v>11</v>
      </c>
      <c r="F5" s="3" t="n">
        <v>33</v>
      </c>
      <c r="G5" s="3" t="n">
        <v>34</v>
      </c>
      <c r="H5" s="3" t="n">
        <v>42</v>
      </c>
      <c r="I5" s="3" t="n">
        <v>45</v>
      </c>
      <c r="J5" s="4" t="n">
        <v>28121</v>
      </c>
      <c r="K5" s="4" t="n">
        <v>50936</v>
      </c>
      <c r="L5" s="4" t="n">
        <v>105423</v>
      </c>
      <c r="M5" s="4" t="n">
        <v>196374</v>
      </c>
      <c r="N5" s="4" t="n">
        <v>127903</v>
      </c>
      <c r="O5" s="4" t="n">
        <v>235604</v>
      </c>
      <c r="P5" s="4" t="n">
        <v>14408386</v>
      </c>
      <c r="Q5" s="4" t="n">
        <v>32211785</v>
      </c>
    </row>
    <row r="6">
      <c r="A6" s="2" t="inlineStr">
        <is>
          <t>HEYKEL</t>
        </is>
      </c>
      <c r="B6" s="3" t="n">
        <v>28</v>
      </c>
      <c r="C6" s="3" t="n">
        <v>29</v>
      </c>
      <c r="D6" s="3" t="n">
        <v>12</v>
      </c>
      <c r="E6" s="3" t="n">
        <v>9</v>
      </c>
      <c r="F6" s="3" t="n">
        <v>28</v>
      </c>
      <c r="G6" s="3" t="n">
        <v>26</v>
      </c>
      <c r="H6" s="3" t="n">
        <v>40</v>
      </c>
      <c r="I6" s="3" t="n">
        <v>35</v>
      </c>
      <c r="J6" s="4" t="n"/>
      <c r="K6" s="4" t="n"/>
      <c r="L6" s="4" t="n"/>
      <c r="M6" s="4" t="n"/>
      <c r="N6" s="4" t="n"/>
      <c r="O6" s="4" t="n"/>
      <c r="P6" s="4" t="n"/>
      <c r="Q6" s="4" t="n"/>
    </row>
    <row r="7">
      <c r="A7" s="2" t="inlineStr">
        <is>
          <t>SURA</t>
        </is>
      </c>
      <c r="B7" s="3" t="n">
        <v>9</v>
      </c>
      <c r="C7" s="3" t="n">
        <v>10</v>
      </c>
      <c r="D7" s="3" t="n">
        <v>6</v>
      </c>
      <c r="E7" s="3" t="n">
        <v>4</v>
      </c>
      <c r="F7" s="3" t="n">
        <v>11</v>
      </c>
      <c r="G7" s="3" t="n">
        <v>12</v>
      </c>
      <c r="H7" s="3" t="n">
        <v>17</v>
      </c>
      <c r="I7" s="3" t="n">
        <v>16</v>
      </c>
      <c r="J7" s="4" t="n"/>
      <c r="K7" s="4" t="n"/>
      <c r="L7" s="4" t="n"/>
      <c r="M7" s="4" t="n"/>
      <c r="N7" s="4" t="n"/>
      <c r="O7" s="4" t="n"/>
      <c r="P7" s="4" t="n"/>
      <c r="Q7" s="4" t="n"/>
    </row>
    <row r="8">
      <c r="A8" s="5" t="inlineStr">
        <is>
          <t>TOPLAM</t>
        </is>
      </c>
      <c r="B8" s="6">
        <f>SUM(B3:B7)</f>
        <v/>
      </c>
      <c r="C8" s="6">
        <f>SUM(C3:C7)</f>
        <v/>
      </c>
      <c r="D8" s="6">
        <f>SUM(D3:D7)</f>
        <v/>
      </c>
      <c r="E8" s="6">
        <f>SUM(E3:E7)</f>
        <v/>
      </c>
      <c r="F8" s="6">
        <f>SUM(F3:F7)</f>
        <v/>
      </c>
      <c r="G8" s="6">
        <f>SUM(G3:G7)</f>
        <v/>
      </c>
      <c r="H8" s="6">
        <f>SUM(H3:H7)</f>
        <v/>
      </c>
      <c r="I8" s="6">
        <f>SUM(I3:I7)</f>
        <v/>
      </c>
      <c r="J8" s="7">
        <f>SUM(J3:J7)</f>
        <v/>
      </c>
      <c r="K8" s="7">
        <f>SUM(K3:K7)</f>
        <v/>
      </c>
      <c r="L8" s="7">
        <f>SUM(L3:L7)</f>
        <v/>
      </c>
      <c r="M8" s="7">
        <f>SUM(M3:M7)</f>
        <v/>
      </c>
      <c r="N8" s="7">
        <f>SUM(N3:N7)</f>
        <v/>
      </c>
      <c r="O8" s="7">
        <f>SUM(O3:O7)</f>
        <v/>
      </c>
      <c r="P8" s="7">
        <f>SUM(P3:P7)</f>
        <v/>
      </c>
      <c r="Q8" s="7">
        <f>SUM(Q3:Q7)</f>
        <v/>
      </c>
    </row>
    <row r="9">
      <c r="A9" s="8" t="inlineStr">
        <is>
          <t>FARK</t>
        </is>
      </c>
      <c r="B9" s="9" t="n"/>
      <c r="C9" s="9">
        <f>C8-B8</f>
        <v/>
      </c>
      <c r="D9" s="9" t="n"/>
      <c r="E9" s="9">
        <f>E8-D8</f>
        <v/>
      </c>
      <c r="F9" s="9" t="n"/>
      <c r="G9" s="9">
        <f>G8-F8</f>
        <v/>
      </c>
      <c r="H9" s="9" t="n"/>
      <c r="I9" s="9">
        <f>I8-H8</f>
        <v/>
      </c>
      <c r="J9" s="10" t="n"/>
      <c r="K9" s="10">
        <f>K8-J8</f>
        <v/>
      </c>
      <c r="L9" s="10" t="n"/>
      <c r="M9" s="10">
        <f>M8-L8</f>
        <v/>
      </c>
      <c r="N9" s="10" t="n"/>
      <c r="O9" s="10">
        <f>O8-N8</f>
        <v/>
      </c>
      <c r="P9" s="10" t="n"/>
      <c r="Q9" s="10">
        <f>Q8-P8</f>
        <v/>
      </c>
    </row>
    <row r="11">
      <c r="A11" s="11" t="inlineStr">
        <is>
          <t>30.06 = sezon oncesi kadrolu taban · Sezon/Kadro/Toplam 31.08 = o tarihte fiilen calisan kisi · Fis/Kalem/Urun adedi/Net ciro = 1 Temmuz - 31 Agustos, perakende satis fisi, KDV haric.</t>
        </is>
      </c>
    </row>
    <row r="12">
      <c r="A12" s="11" t="inlineStr">
        <is>
          <t>Kadrolu icindeki ENGELLI (31.08): IST. YOLU 1 -&gt; 2 · FSM 1 -&gt; 1 · magaza toplami 2 -&gt; 3. Ayrac 4857/30 engelli istihdam tesviki (+ Ozurlulukkodu izi); tesviksiz engelli bu sayida gorunmez.</t>
        </is>
      </c>
    </row>
    <row r="13">
      <c r="A13" s="11" t="inlineStr">
        <is>
          <t>Kadrolu icindeki ETKINLIK kadrosu (31.08): IST. YOLU 1 -&gt; 1 · OZLUCE 0 -&gt; 1 · FSM 1 -&gt; 1 · magaza toplami 2 -&gt; 3.</t>
        </is>
      </c>
    </row>
    <row r="14">
      <c r="A14" s="11" t="inlineStr">
        <is>
          <t>AS-OF AKTIF = Igt &lt;= T AND (Ict IS NULL OR Ict &gt;= T) — Zirve dbo.sp_PersonelKarsilastirma_Ozet ile BIREBIR. Mutabakat 02.09.2026: tum lokasyon 31.08.2025=322, 31.08.2026=335, fark +13 (SP ile ayni). Onceki surumde Ict &gt; T kullanilmisti (magaza kadrolu 148 vs 150).</t>
        </is>
      </c>
    </row>
    <row r="15">
      <c r="A15" s="11" t="inlineStr">
        <is>
          <t>Heykel ve Sura EncoreMerkez POS raporlamasinda yok -&gt; is hacmi kolonlari bos; TOPLAM/FARK is hacmi sutunlari uc magazanin toplamidir.</t>
        </is>
      </c>
    </row>
  </sheetData>
  <mergeCells count="9">
    <mergeCell ref="N1:O1"/>
    <mergeCell ref="D1:E1"/>
    <mergeCell ref="H1:I1"/>
    <mergeCell ref="L1:M1"/>
    <mergeCell ref="J1:K1"/>
    <mergeCell ref="P1:Q1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2026-09-02T11:05:36Z</dcterms:created>
  <dcterms:modified xmlns:dcterms="http://purl.org/dc/terms/" xmlns:xsi="http://www.w3.org/2001/XMLSchema-instance" xsi:type="dcterms:W3CDTF">2026-09-02T11:05:36Z</dcterms:modified>
</cp:coreProperties>
</file>