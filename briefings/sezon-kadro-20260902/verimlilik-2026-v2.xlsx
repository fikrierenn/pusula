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Magaza" sheetId="2" state="visible" r:id="rId2"/>
    <sheet xmlns:r="http://schemas.openxmlformats.org/officeDocument/2006/relationships" name="Kadro" sheetId="3" state="visible" r:id="rId3"/>
    <sheet xmlns:r="http://schemas.openxmlformats.org/officeDocument/2006/relationships" name="Bolum" sheetId="4" state="visible" r:id="rId4"/>
    <sheet xmlns:r="http://schemas.openxmlformats.org/officeDocument/2006/relationships" name="Yillar" sheetId="5" state="visible" r:id="rId5"/>
    <sheet xmlns:r="http://schemas.openxmlformats.org/officeDocument/2006/relationships" name="Oca-Agu" sheetId="6" state="visible" r:id="rId6"/>
    <sheet xmlns:r="http://schemas.openxmlformats.org/officeDocument/2006/relationships" name="Yonte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%;-0.0%"/>
    <numFmt numFmtId="165" formatCode="#,##0.0"/>
    <numFmt numFmtId="166" formatCode="0.0&quot;x&quot;"/>
    <numFmt numFmtId="167" formatCode="+0;-0;0"/>
    <numFmt numFmtId="168" formatCode="0.0%"/>
  </numFmts>
  <fonts count="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  <sz val="10"/>
    </font>
    <font>
      <b val="1"/>
      <color rgb="001F7A4D"/>
    </font>
    <font>
      <i val="1"/>
      <color rgb="00666666"/>
      <sz val="9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3" fontId="0" fillId="3" borderId="1" pivotButton="0" quotePrefix="0" xfId="0"/>
    <xf numFmtId="164" fontId="4" fillId="3" borderId="1" pivotButton="0" quotePrefix="0" xfId="0"/>
    <xf numFmtId="165" fontId="0" fillId="3" borderId="1" pivotButton="0" quotePrefix="0" xfId="0"/>
    <xf numFmtId="0" fontId="3" fillId="0" borderId="1" pivotButton="0" quotePrefix="0" xfId="0"/>
    <xf numFmtId="166" fontId="1" fillId="4" borderId="1" pivotButton="0" quotePrefix="0" xfId="0"/>
    <xf numFmtId="0" fontId="5" fillId="0" borderId="0" pivotButton="0" quotePrefix="0" xfId="0"/>
    <xf numFmtId="166" fontId="0" fillId="0" borderId="1" pivotButton="0" quotePrefix="0" xfId="0"/>
    <xf numFmtId="167" fontId="0" fillId="0" borderId="1" pivotButton="0" quotePrefix="0" xfId="0"/>
    <xf numFmtId="167" fontId="0" fillId="4" borderId="1" pivotButton="0" quotePrefix="0" xfId="0"/>
    <xf numFmtId="0" fontId="5" fillId="0" borderId="0" applyAlignment="1" pivotButton="0" quotePrefix="0" xfId="0">
      <alignment/>
    </xf>
    <xf numFmtId="164" fontId="4" fillId="0" borderId="1" pivotButton="0" quotePrefix="0" xfId="0"/>
    <xf numFmtId="165" fontId="0" fillId="0" borderId="1" pivotButton="0" quotePrefix="0" xfId="0"/>
    <xf numFmtId="166" fontId="4" fillId="0" borderId="1" pivotButton="0" quotePrefix="0" xfId="0"/>
    <xf numFmtId="0" fontId="6" fillId="3" borderId="1" pivotButton="0" quotePrefix="0" xfId="0"/>
    <xf numFmtId="3" fontId="6" fillId="3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4" fillId="3" borderId="1" pivotButton="0" quotePrefix="0" xfId="0"/>
    <xf numFmtId="167" fontId="6" fillId="4" borderId="1" pivotButton="0" quotePrefix="0" xfId="0"/>
    <xf numFmtId="167" fontId="6" fillId="3" borderId="1" pivotButton="0" quotePrefix="0" xfId="0"/>
    <xf numFmtId="168" fontId="0" fillId="0" borderId="1" pivotButton="0" quotePrefix="0" xfId="0"/>
    <xf numFmtId="168" fontId="6" fillId="3" borderId="1" pivotButton="0" quotePrefix="0" xfId="0"/>
    <xf numFmtId="3" fontId="6" fillId="0" borderId="1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" t="inlineStr">
        <is>
          <t>Ayni kadro, daha cok is — uc POS magazasi (okul-hizali pencere, 56 gun)</t>
        </is>
      </c>
    </row>
    <row r="3" ht="30" customHeight="1">
      <c r="A3" s="2" t="inlineStr">
        <is>
          <t>Olcu</t>
        </is>
      </c>
      <c r="B3" s="2" t="inlineStr">
        <is>
          <t>2025</t>
        </is>
      </c>
      <c r="C3" s="2" t="inlineStr">
        <is>
          <t>2026</t>
        </is>
      </c>
      <c r="D3" s="2" t="inlineStr">
        <is>
          <t>Fark</t>
        </is>
      </c>
      <c r="E3" s="2" t="inlineStr">
        <is>
          <t>Degisim</t>
        </is>
      </c>
    </row>
    <row r="4">
      <c r="A4" s="3" t="inlineStr">
        <is>
          <t>Kadro — 31.08 (kisi)</t>
        </is>
      </c>
      <c r="B4" s="4" t="n">
        <v>143</v>
      </c>
      <c r="C4" s="4" t="n">
        <v>160</v>
      </c>
      <c r="D4" s="4">
        <f>C4-B4</f>
        <v/>
      </c>
      <c r="E4" s="5">
        <f>IF(B4=0,"",C4/B4-1)</f>
        <v/>
      </c>
    </row>
    <row r="5">
      <c r="A5" s="3" t="inlineStr">
        <is>
          <t>Urun adedi (elleclenen)</t>
        </is>
      </c>
      <c r="B5" s="4" t="n">
        <v>574717.7</v>
      </c>
      <c r="C5" s="4" t="n">
        <v>775191.55</v>
      </c>
      <c r="D5" s="4">
        <f>C5-B5</f>
        <v/>
      </c>
      <c r="E5" s="5">
        <f>IF(B5=0,"",C5/B5-1)</f>
        <v/>
      </c>
    </row>
    <row r="6">
      <c r="A6" s="3" t="inlineStr">
        <is>
          <t>Ciro — KDV haric (TL)</t>
        </is>
      </c>
      <c r="B6" s="4" t="n">
        <v>66929723.56999852</v>
      </c>
      <c r="C6" s="4" t="n">
        <v>114687785.58</v>
      </c>
      <c r="D6" s="4">
        <f>C6-B6</f>
        <v/>
      </c>
      <c r="E6" s="5">
        <f>IF(B6=0,"",C6/B6-1)</f>
        <v/>
      </c>
    </row>
    <row r="7">
      <c r="A7" s="3" t="inlineStr">
        <is>
          <t>Ciro — KDV dahil (TL)</t>
        </is>
      </c>
      <c r="B7" s="4" t="n">
        <v>71837429.11999343</v>
      </c>
      <c r="C7" s="4" t="n">
        <v>122601380.8499947</v>
      </c>
      <c r="D7" s="4">
        <f>C7-B7</f>
        <v/>
      </c>
      <c r="E7" s="5">
        <f>IF(B7=0,"",C7/B7-1)</f>
        <v/>
      </c>
    </row>
    <row r="9">
      <c r="A9" s="6" t="inlineStr">
        <is>
          <t>KISI BASI — asil olcu</t>
        </is>
      </c>
    </row>
    <row r="10">
      <c r="A10" s="3" t="inlineStr">
        <is>
          <t>Urun adedi / kisi</t>
        </is>
      </c>
      <c r="B10" s="7">
        <f>B5/B4</f>
        <v/>
      </c>
      <c r="C10" s="7">
        <f>C5/C4</f>
        <v/>
      </c>
      <c r="D10" s="7">
        <f>C10-B10</f>
        <v/>
      </c>
      <c r="E10" s="8">
        <f>C10/B10-1</f>
        <v/>
      </c>
    </row>
    <row r="11">
      <c r="A11" s="3" t="inlineStr">
        <is>
          <t>Urun adedi / kisi / gun</t>
        </is>
      </c>
      <c r="B11" s="9">
        <f>B5/B4/56</f>
        <v/>
      </c>
      <c r="C11" s="9">
        <f>C5/C4/56</f>
        <v/>
      </c>
      <c r="D11" s="9">
        <f>C11-B11</f>
        <v/>
      </c>
      <c r="E11" s="8">
        <f>C11/B11-1</f>
        <v/>
      </c>
    </row>
    <row r="12">
      <c r="A12" s="3" t="inlineStr">
        <is>
          <t>Ciro (KDV haric) / kisi (TL)</t>
        </is>
      </c>
      <c r="B12" s="7">
        <f>B6/B4</f>
        <v/>
      </c>
      <c r="C12" s="7">
        <f>C6/C4</f>
        <v/>
      </c>
      <c r="D12" s="7">
        <f>C12-B12</f>
        <v/>
      </c>
      <c r="E12" s="8">
        <f>C12/B12-1</f>
        <v/>
      </c>
    </row>
    <row r="14">
      <c r="A14" s="10" t="inlineStr">
        <is>
          <t>Is buyumesi kadro buyumesinin kac kati</t>
        </is>
      </c>
      <c r="B14" s="11">
        <f>E5/E4</f>
        <v/>
      </c>
      <c r="C14" s="12" t="inlineStr">
        <is>
          <t>urun adedi / kadro</t>
        </is>
      </c>
    </row>
    <row r="15">
      <c r="A15" s="3" t="inlineStr">
        <is>
          <t xml:space="preserve">  ayni oran ciro ile</t>
        </is>
      </c>
      <c r="B15" s="13">
        <f>E6/E4</f>
        <v/>
      </c>
      <c r="C15" s="12" t="inlineStr">
        <is>
          <t>ciro (KDV haric) / kadro</t>
        </is>
      </c>
    </row>
    <row r="17">
      <c r="A17" s="6" t="inlineStr">
        <is>
          <t>BES MAGAZA KADRO HAREKETI (POS'ta olmayan Heykel + Sura dahil)</t>
        </is>
      </c>
    </row>
    <row r="18">
      <c r="A18" s="3" t="inlineStr">
        <is>
          <t>Kadrolu — taban 30.06</t>
        </is>
      </c>
      <c r="B18" s="4" t="n">
        <v>139</v>
      </c>
      <c r="C18" s="4" t="n">
        <v>153</v>
      </c>
      <c r="D18" s="14">
        <f>C18-B18</f>
        <v/>
      </c>
    </row>
    <row r="19">
      <c r="A19" s="3" t="inlineStr">
        <is>
          <t>Kadrolu — kesim 31.08</t>
        </is>
      </c>
      <c r="B19" s="4" t="n">
        <v>135</v>
      </c>
      <c r="C19" s="4" t="n">
        <v>149</v>
      </c>
      <c r="D19" s="14">
        <f>C19-B19</f>
        <v/>
      </c>
    </row>
    <row r="20">
      <c r="A20" s="3" t="inlineStr">
        <is>
          <t>Sezonluk — kesim 31.08</t>
        </is>
      </c>
      <c r="B20" s="4" t="n">
        <v>65</v>
      </c>
      <c r="C20" s="4" t="n">
        <v>62</v>
      </c>
      <c r="D20" s="14">
        <f>C20-B20</f>
        <v/>
      </c>
    </row>
    <row r="21">
      <c r="A21" s="3" t="inlineStr">
        <is>
          <t>Toplam — kesim 31.08</t>
        </is>
      </c>
      <c r="B21" s="4" t="n">
        <v>200</v>
      </c>
      <c r="C21" s="4" t="n">
        <v>211</v>
      </c>
      <c r="D21" s="14">
        <f>C21-B21</f>
        <v/>
      </c>
    </row>
    <row r="22">
      <c r="A22" s="3" t="inlineStr">
        <is>
          <t>Sezon ici kadrolu degisim (taban -&gt; kesim)</t>
        </is>
      </c>
      <c r="B22" s="14">
        <f>B19-B18</f>
        <v/>
      </c>
      <c r="C22" s="15">
        <f>C19-C18</f>
        <v/>
      </c>
      <c r="D22" s="12" t="inlineStr">
        <is>
          <t>sezon icinde kadro BUYUMEDI</t>
        </is>
      </c>
    </row>
    <row r="24">
      <c r="A24" s="16" t="inlineStr">
        <is>
          <t>Kadro farki 1 Temmuz'dan ONCE olustu: kadrolu taban 30.06'da 139 -&gt; 153. Sezon icinde (1 Tem - 31 Agu) kadro kucumustu.</t>
        </is>
      </c>
    </row>
    <row r="25">
      <c r="A25" s="16" t="inlineStr">
        <is>
          <t>Kisi basi satirlar ve tum yuzdeler Excel FORMULUDUR — ham rakami degistirin, oran kendini gunceller.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" t="inlineStr">
        <is>
          <t>Magaza bazinda kisi basi is — okul-hizali pencere (56 gun, Sinav haric)</t>
        </is>
      </c>
    </row>
    <row r="3" ht="30" customHeight="1">
      <c r="A3" s="2" t="inlineStr">
        <is>
          <t>Magaza</t>
        </is>
      </c>
      <c r="B3" s="2" t="inlineStr">
        <is>
          <t>Kadro 2025</t>
        </is>
      </c>
      <c r="C3" s="2" t="inlineStr">
        <is>
          <t>Kadro 2026</t>
        </is>
      </c>
      <c r="D3" s="2" t="inlineStr">
        <is>
          <t>Kadro Δ%</t>
        </is>
      </c>
      <c r="E3" s="2" t="inlineStr">
        <is>
          <t>Urun adedi 2025</t>
        </is>
      </c>
      <c r="F3" s="2" t="inlineStr">
        <is>
          <t>Urun adedi 2026</t>
        </is>
      </c>
      <c r="G3" s="2" t="inlineStr">
        <is>
          <t>Adet Δ%</t>
        </is>
      </c>
      <c r="H3" s="2" t="inlineStr">
        <is>
          <t>Adet/kisi 2025</t>
        </is>
      </c>
      <c r="I3" s="2" t="inlineStr">
        <is>
          <t>Adet/kisi 2026</t>
        </is>
      </c>
      <c r="J3" s="2" t="inlineStr">
        <is>
          <t>Adet/kisi Δ%</t>
        </is>
      </c>
      <c r="K3" s="2" t="inlineStr">
        <is>
          <t>Adet/kisi/gun 2025</t>
        </is>
      </c>
      <c r="L3" s="2" t="inlineStr">
        <is>
          <t>Adet/kisi/gun 2026</t>
        </is>
      </c>
      <c r="M3" s="2" t="inlineStr">
        <is>
          <t>Ciro 2025 (KDV haric)</t>
        </is>
      </c>
      <c r="N3" s="2" t="inlineStr">
        <is>
          <t>Ciro 2026 (KDV haric)</t>
        </is>
      </c>
      <c r="O3" s="2" t="inlineStr">
        <is>
          <t>Ciro Δ%</t>
        </is>
      </c>
      <c r="P3" s="2" t="inlineStr">
        <is>
          <t>Ciro/kisi 2025</t>
        </is>
      </c>
      <c r="Q3" s="2" t="inlineStr">
        <is>
          <t>Ciro/kisi 2026</t>
        </is>
      </c>
      <c r="R3" s="2" t="inlineStr">
        <is>
          <t>Ciro/kisi Δ%</t>
        </is>
      </c>
      <c r="S3" s="2" t="inlineStr">
        <is>
          <t>Is / kadro (kac kat)</t>
        </is>
      </c>
    </row>
    <row r="4">
      <c r="A4" s="3" t="inlineStr">
        <is>
          <t>İst. Yolu</t>
        </is>
      </c>
      <c r="B4" s="4" t="n">
        <v>50</v>
      </c>
      <c r="C4" s="4" t="n">
        <v>61</v>
      </c>
      <c r="D4" s="5">
        <f>C4/B4-1</f>
        <v/>
      </c>
      <c r="E4" s="4" t="n">
        <v>173398</v>
      </c>
      <c r="F4" s="4" t="n">
        <v>258168.5</v>
      </c>
      <c r="G4" s="5">
        <f>F4/E4-1</f>
        <v/>
      </c>
      <c r="H4" s="4">
        <f>E4/B4</f>
        <v/>
      </c>
      <c r="I4" s="4">
        <f>F4/C4</f>
        <v/>
      </c>
      <c r="J4" s="17">
        <f>I4/H4-1</f>
        <v/>
      </c>
      <c r="K4" s="18">
        <f>E4/B4/56</f>
        <v/>
      </c>
      <c r="L4" s="18">
        <f>F4/C4/56</f>
        <v/>
      </c>
      <c r="M4" s="4" t="n">
        <v>20455158.42999981</v>
      </c>
      <c r="N4" s="4" t="n">
        <v>40444611.76999976</v>
      </c>
      <c r="O4" s="5">
        <f>N4/M4-1</f>
        <v/>
      </c>
      <c r="P4" s="4">
        <f>M4/B4</f>
        <v/>
      </c>
      <c r="Q4" s="4">
        <f>N4/C4</f>
        <v/>
      </c>
      <c r="R4" s="17">
        <f>Q4/P4-1</f>
        <v/>
      </c>
      <c r="S4" s="19">
        <f>G4/D4</f>
        <v/>
      </c>
    </row>
    <row r="5">
      <c r="A5" s="3" t="inlineStr">
        <is>
          <t>Özlüce</t>
        </is>
      </c>
      <c r="B5" s="4" t="n">
        <v>51</v>
      </c>
      <c r="C5" s="4" t="n">
        <v>54</v>
      </c>
      <c r="D5" s="5">
        <f>C5/B5-1</f>
        <v/>
      </c>
      <c r="E5" s="4" t="n">
        <v>230764.7</v>
      </c>
      <c r="F5" s="4" t="n">
        <v>301250.05</v>
      </c>
      <c r="G5" s="5">
        <f>F5/E5-1</f>
        <v/>
      </c>
      <c r="H5" s="4">
        <f>E5/B5</f>
        <v/>
      </c>
      <c r="I5" s="4">
        <f>F5/C5</f>
        <v/>
      </c>
      <c r="J5" s="17">
        <f>I5/H5-1</f>
        <v/>
      </c>
      <c r="K5" s="18">
        <f>E5/B5/56</f>
        <v/>
      </c>
      <c r="L5" s="18">
        <f>F5/C5/56</f>
        <v/>
      </c>
      <c r="M5" s="4" t="n">
        <v>28347121.58999882</v>
      </c>
      <c r="N5" s="4" t="n">
        <v>44784483.14999945</v>
      </c>
      <c r="O5" s="5">
        <f>N5/M5-1</f>
        <v/>
      </c>
      <c r="P5" s="4">
        <f>M5/B5</f>
        <v/>
      </c>
      <c r="Q5" s="4">
        <f>N5/C5</f>
        <v/>
      </c>
      <c r="R5" s="17">
        <f>Q5/P5-1</f>
        <v/>
      </c>
      <c r="S5" s="19">
        <f>G5/D5</f>
        <v/>
      </c>
    </row>
    <row r="6">
      <c r="A6" s="3" t="inlineStr">
        <is>
          <t>FSM</t>
        </is>
      </c>
      <c r="B6" s="4" t="n">
        <v>42</v>
      </c>
      <c r="C6" s="4" t="n">
        <v>45</v>
      </c>
      <c r="D6" s="5">
        <f>C6/B6-1</f>
        <v/>
      </c>
      <c r="E6" s="4" t="n">
        <v>170555</v>
      </c>
      <c r="F6" s="4" t="n">
        <v>215773</v>
      </c>
      <c r="G6" s="5">
        <f>F6/E6-1</f>
        <v/>
      </c>
      <c r="H6" s="4">
        <f>E6/B6</f>
        <v/>
      </c>
      <c r="I6" s="4">
        <f>F6/C6</f>
        <v/>
      </c>
      <c r="J6" s="17">
        <f>I6/H6-1</f>
        <v/>
      </c>
      <c r="K6" s="18">
        <f>E6/B6/56</f>
        <v/>
      </c>
      <c r="L6" s="18">
        <f>F6/C6/56</f>
        <v/>
      </c>
      <c r="M6" s="4" t="n">
        <v>18127443.54999989</v>
      </c>
      <c r="N6" s="4" t="n">
        <v>29458690.66000078</v>
      </c>
      <c r="O6" s="5">
        <f>N6/M6-1</f>
        <v/>
      </c>
      <c r="P6" s="4">
        <f>M6/B6</f>
        <v/>
      </c>
      <c r="Q6" s="4">
        <f>N6/C6</f>
        <v/>
      </c>
      <c r="R6" s="17">
        <f>Q6/P6-1</f>
        <v/>
      </c>
      <c r="S6" s="19">
        <f>G6/D6</f>
        <v/>
      </c>
    </row>
    <row r="7">
      <c r="A7" s="20" t="inlineStr">
        <is>
          <t>TOPLAM</t>
        </is>
      </c>
      <c r="B7" s="21">
        <f>SUM(B4:B6)</f>
        <v/>
      </c>
      <c r="C7" s="21">
        <f>SUM(C4:C6)</f>
        <v/>
      </c>
      <c r="D7" s="22">
        <f>C7/B7-1</f>
        <v/>
      </c>
      <c r="E7" s="21">
        <f>SUM(E4:E6)</f>
        <v/>
      </c>
      <c r="F7" s="21">
        <f>SUM(F4:F6)</f>
        <v/>
      </c>
      <c r="G7" s="22">
        <f>F7/E7-1</f>
        <v/>
      </c>
      <c r="H7" s="21">
        <f>E7/B7</f>
        <v/>
      </c>
      <c r="I7" s="21">
        <f>F7/C7</f>
        <v/>
      </c>
      <c r="J7" s="8">
        <f>I7/H7-1</f>
        <v/>
      </c>
      <c r="K7" s="23">
        <f>E7/B7/56</f>
        <v/>
      </c>
      <c r="L7" s="23">
        <f>F7/C7/56</f>
        <v/>
      </c>
      <c r="M7" s="21">
        <f>SUM(M4:M6)</f>
        <v/>
      </c>
      <c r="N7" s="21">
        <f>SUM(N4:N6)</f>
        <v/>
      </c>
      <c r="O7" s="22">
        <f>N7/M7-1</f>
        <v/>
      </c>
      <c r="P7" s="21">
        <f>M7/B7</f>
        <v/>
      </c>
      <c r="Q7" s="21">
        <f>N7/C7</f>
        <v/>
      </c>
      <c r="R7" s="8">
        <f>Q7/P7-1</f>
        <v/>
      </c>
      <c r="S7" s="24">
        <f>G7/D7</f>
        <v/>
      </c>
    </row>
    <row r="29">
      <c r="A29" s="16" t="inlineStr">
        <is>
          <t>Kadro = 31.08 itibariyla o magazada fiilen calisan TUM personel (sezonluk + kadrolu).</t>
        </is>
      </c>
    </row>
    <row r="30">
      <c r="A30" s="16" t="inlineStr">
        <is>
          <t>'Is / kadro' = urun adedi buyumesi / kadro buyumesi. 1,0x'in uzeri: is kadrodan hizli buyudu.</t>
        </is>
      </c>
    </row>
    <row r="31">
      <c r="A31" s="16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" t="inlineStr">
        <is>
          <t>Bes magaza kadro tablosu — as-of Igt &lt;= T AND (Ict IS NULL OR Ict &gt;= T)</t>
        </is>
      </c>
    </row>
    <row r="3" ht="30" customHeight="1">
      <c r="A3" s="2" t="inlineStr">
        <is>
          <t>Magaza</t>
        </is>
      </c>
      <c r="B3" s="2" t="inlineStr">
        <is>
          <t>Kadrolu taban 30.06 · 2025</t>
        </is>
      </c>
      <c r="C3" s="2" t="inlineStr">
        <is>
          <t>Kadrolu taban 30.06 · 2026</t>
        </is>
      </c>
      <c r="D3" s="2" t="inlineStr">
        <is>
          <t>Taban Δ</t>
        </is>
      </c>
      <c r="E3" s="2" t="inlineStr">
        <is>
          <t>Kadrolu 31.08 · 2025</t>
        </is>
      </c>
      <c r="F3" s="2" t="inlineStr">
        <is>
          <t>Kadrolu 31.08 · 2026</t>
        </is>
      </c>
      <c r="G3" s="2" t="inlineStr">
        <is>
          <t>Sezon ici hareket 2025</t>
        </is>
      </c>
      <c r="H3" s="2" t="inlineStr">
        <is>
          <t>Sezon ici hareket 2026</t>
        </is>
      </c>
      <c r="I3" s="2" t="inlineStr">
        <is>
          <t>Sezonluk 31.08 · 2025</t>
        </is>
      </c>
      <c r="J3" s="2" t="inlineStr">
        <is>
          <t>Sezonluk 31.08 · 2026</t>
        </is>
      </c>
      <c r="K3" s="2" t="inlineStr">
        <is>
          <t>Toplam 31.08 · 2025</t>
        </is>
      </c>
      <c r="L3" s="2" t="inlineStr">
        <is>
          <t>Toplam 31.08 · 2026</t>
        </is>
      </c>
      <c r="M3" s="2" t="inlineStr">
        <is>
          <t>Toplam Δ</t>
        </is>
      </c>
    </row>
    <row r="4">
      <c r="A4" s="3" t="inlineStr">
        <is>
          <t>İST. YOLU</t>
        </is>
      </c>
      <c r="B4" s="4" t="n">
        <v>29</v>
      </c>
      <c r="C4" s="4" t="n">
        <v>35</v>
      </c>
      <c r="D4" s="14">
        <f>C4-B4</f>
        <v/>
      </c>
      <c r="E4" s="4" t="n">
        <v>27</v>
      </c>
      <c r="F4" s="4" t="n">
        <v>36</v>
      </c>
      <c r="G4" s="14">
        <f>E4-B4</f>
        <v/>
      </c>
      <c r="H4" s="14">
        <f>F4-C4</f>
        <v/>
      </c>
      <c r="I4" s="4" t="n">
        <v>23</v>
      </c>
      <c r="J4" s="4" t="n">
        <v>25</v>
      </c>
      <c r="K4" s="4">
        <f>E4+I4</f>
        <v/>
      </c>
      <c r="L4" s="4">
        <f>F4+J4</f>
        <v/>
      </c>
      <c r="M4" s="14">
        <f>L4-K4</f>
        <v/>
      </c>
    </row>
    <row r="5">
      <c r="A5" s="3" t="inlineStr">
        <is>
          <t>ÖZLÜCE</t>
        </is>
      </c>
      <c r="B5" s="4" t="n">
        <v>39</v>
      </c>
      <c r="C5" s="4" t="n">
        <v>44</v>
      </c>
      <c r="D5" s="14">
        <f>C5-B5</f>
        <v/>
      </c>
      <c r="E5" s="4" t="n">
        <v>36</v>
      </c>
      <c r="F5" s="4" t="n">
        <v>41</v>
      </c>
      <c r="G5" s="14">
        <f>E5-B5</f>
        <v/>
      </c>
      <c r="H5" s="14">
        <f>F5-C5</f>
        <v/>
      </c>
      <c r="I5" s="4" t="n">
        <v>15</v>
      </c>
      <c r="J5" s="4" t="n">
        <v>13</v>
      </c>
      <c r="K5" s="4">
        <f>E5+I5</f>
        <v/>
      </c>
      <c r="L5" s="4">
        <f>F5+J5</f>
        <v/>
      </c>
      <c r="M5" s="14">
        <f>L5-K5</f>
        <v/>
      </c>
    </row>
    <row r="6">
      <c r="A6" s="3" t="inlineStr">
        <is>
          <t>FSM</t>
        </is>
      </c>
      <c r="B6" s="4" t="n">
        <v>34</v>
      </c>
      <c r="C6" s="4" t="n">
        <v>35</v>
      </c>
      <c r="D6" s="14">
        <f>C6-B6</f>
        <v/>
      </c>
      <c r="E6" s="4" t="n">
        <v>33</v>
      </c>
      <c r="F6" s="4" t="n">
        <v>34</v>
      </c>
      <c r="G6" s="14">
        <f>E6-B6</f>
        <v/>
      </c>
      <c r="H6" s="14">
        <f>F6-C6</f>
        <v/>
      </c>
      <c r="I6" s="4" t="n">
        <v>9</v>
      </c>
      <c r="J6" s="4" t="n">
        <v>11</v>
      </c>
      <c r="K6" s="4">
        <f>E6+I6</f>
        <v/>
      </c>
      <c r="L6" s="4">
        <f>F6+J6</f>
        <v/>
      </c>
      <c r="M6" s="14">
        <f>L6-K6</f>
        <v/>
      </c>
    </row>
    <row r="7">
      <c r="A7" s="3" t="inlineStr">
        <is>
          <t>HEYKEL</t>
        </is>
      </c>
      <c r="B7" s="4" t="n">
        <v>28</v>
      </c>
      <c r="C7" s="4" t="n">
        <v>29</v>
      </c>
      <c r="D7" s="14">
        <f>C7-B7</f>
        <v/>
      </c>
      <c r="E7" s="4" t="n">
        <v>28</v>
      </c>
      <c r="F7" s="4" t="n">
        <v>26</v>
      </c>
      <c r="G7" s="14">
        <f>E7-B7</f>
        <v/>
      </c>
      <c r="H7" s="14">
        <f>F7-C7</f>
        <v/>
      </c>
      <c r="I7" s="4" t="n">
        <v>12</v>
      </c>
      <c r="J7" s="4" t="n">
        <v>9</v>
      </c>
      <c r="K7" s="4">
        <f>E7+I7</f>
        <v/>
      </c>
      <c r="L7" s="4">
        <f>F7+J7</f>
        <v/>
      </c>
      <c r="M7" s="14">
        <f>L7-K7</f>
        <v/>
      </c>
    </row>
    <row r="8">
      <c r="A8" s="3" t="inlineStr">
        <is>
          <t>ŞURA</t>
        </is>
      </c>
      <c r="B8" s="4" t="n">
        <v>9</v>
      </c>
      <c r="C8" s="4" t="n">
        <v>10</v>
      </c>
      <c r="D8" s="14">
        <f>C8-B8</f>
        <v/>
      </c>
      <c r="E8" s="4" t="n">
        <v>11</v>
      </c>
      <c r="F8" s="4" t="n">
        <v>12</v>
      </c>
      <c r="G8" s="14">
        <f>E8-B8</f>
        <v/>
      </c>
      <c r="H8" s="14">
        <f>F8-C8</f>
        <v/>
      </c>
      <c r="I8" s="4" t="n">
        <v>6</v>
      </c>
      <c r="J8" s="4" t="n">
        <v>4</v>
      </c>
      <c r="K8" s="4">
        <f>E8+I8</f>
        <v/>
      </c>
      <c r="L8" s="4">
        <f>F8+J8</f>
        <v/>
      </c>
      <c r="M8" s="14">
        <f>L8-K8</f>
        <v/>
      </c>
    </row>
    <row r="9">
      <c r="A9" s="20" t="inlineStr">
        <is>
          <t>TOPLAM</t>
        </is>
      </c>
      <c r="B9" s="21">
        <f>SUM(B4:B8)</f>
        <v/>
      </c>
      <c r="C9" s="21">
        <f>SUM(C4:C8)</f>
        <v/>
      </c>
      <c r="D9" s="25">
        <f>C9-B9</f>
        <v/>
      </c>
      <c r="E9" s="21">
        <f>SUM(E4:E8)</f>
        <v/>
      </c>
      <c r="F9" s="21">
        <f>SUM(F4:F8)</f>
        <v/>
      </c>
      <c r="G9" s="26">
        <f>E9-B9</f>
        <v/>
      </c>
      <c r="H9" s="25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26">
        <f>L9-K9</f>
        <v/>
      </c>
    </row>
    <row r="11">
      <c r="A11" s="16" t="inlineStr">
        <is>
          <t>TABAN FARKI (D kolonu, TOPLAM satiri) = patrona soylenen +14: kadrolu 139 -&gt; 153, 1 TEMMUZ'DAN ONCE olustu.</t>
        </is>
      </c>
    </row>
    <row r="12">
      <c r="A12" s="16" t="inlineStr">
        <is>
          <t>SEZON ICI HAREKET = kesim - taban. 2026'da -4; 2025'te de -4 -&gt; sezon icinde kadro buyutulmedi, iki yilin deseni ayni.</t>
        </is>
      </c>
    </row>
    <row r="13">
      <c r="A13" s="16" t="inlineStr">
        <is>
          <t>Sayim TEK TABLO uzerinden (vw_PersonelDepartman). Onceki surumde perbilgi LEFT JOIN'i bir kisiyi iki kez saymis:</t>
        </is>
      </c>
    </row>
    <row r="14">
      <c r="A14" s="16" t="inlineStr">
        <is>
          <t xml:space="preserve">   Ozluce 31.08.2026 kadrolu 42 gorunuyordu, DOGRUSU 41 (teyit: KADRO 41 + SEZONLUK 13 = 54 kisi).</t>
        </is>
      </c>
    </row>
    <row r="15">
      <c r="A15" s="16" t="inlineStr">
        <is>
          <t xml:space="preserve">   Bu yuzden magaza toplami 150 degil 149; sezon ici hareket -3 degil -4.</t>
        </is>
      </c>
    </row>
    <row r="16">
      <c r="A16" s="16" t="inlineStr">
        <is>
          <t>Heykel ve Sura POS raporlamasinda yok -&gt; is hacmi sayfalarinda yer almaz, kadro tablosunda VARDIR.</t>
        </is>
      </c>
    </row>
    <row r="17">
      <c r="A17" s="16" t="inlineStr">
        <is>
          <t>KAPSAM: Lokasyon = MAGAZALAR. Cift gorevli 1 kisi (GM satinalma 'KITAP DISI S.A' + Heykel) bu</t>
        </is>
      </c>
    </row>
    <row r="18">
      <c r="A18" s="16" t="inlineStr">
        <is>
          <t xml:space="preserve">   kapsamda GORUNMEZ. O kisi Heykel'e eklenirse taban 140 -&gt; 154, kesim 136 -&gt; 150 olur;</t>
        </is>
      </c>
    </row>
    <row r="19">
      <c r="A19" s="16" t="inlineStr">
        <is>
          <t xml:space="preserve">   TABAN FARKI yine +14, SEZON ICI HAREKET yine -4. Yani cift gorev savunmayi DEGISTIRMIYOR.</t>
        </is>
      </c>
    </row>
    <row r="20">
      <c r="A20" s="16" t="inlineStr">
        <is>
          <t>Kaynak view anlik durumu tutar (kadro gecmisi yok): kisinin BUGUNKU lokasyon etiketi her iki yila</t>
        </is>
      </c>
    </row>
    <row r="21">
      <c r="A21" s="16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" t="inlineStr">
        <is>
          <t>Bölüm bazında kadro — 31.08 kesimi, beş mağaza</t>
        </is>
      </c>
    </row>
    <row r="3" ht="30" customHeight="1">
      <c r="A3" s="2" t="inlineStr">
        <is>
          <t>Bolum</t>
        </is>
      </c>
      <c r="B3" s="2" t="inlineStr">
        <is>
          <t>Kadrolu 2025</t>
        </is>
      </c>
      <c r="C3" s="2" t="inlineStr">
        <is>
          <t>Kadrolu 2026</t>
        </is>
      </c>
      <c r="D3" s="2" t="inlineStr">
        <is>
          <t>Kadrolu Δ</t>
        </is>
      </c>
      <c r="E3" s="2" t="inlineStr">
        <is>
          <t>Sezonluk 2025</t>
        </is>
      </c>
      <c r="F3" s="2" t="inlineStr">
        <is>
          <t>Sezonluk 2026</t>
        </is>
      </c>
      <c r="G3" s="2" t="inlineStr">
        <is>
          <t>Sezonluk Δ</t>
        </is>
      </c>
      <c r="H3" s="2" t="inlineStr">
        <is>
          <t>Toplam 2025</t>
        </is>
      </c>
      <c r="I3" s="2" t="inlineStr">
        <is>
          <t>Toplam 2026</t>
        </is>
      </c>
      <c r="J3" s="2" t="inlineStr">
        <is>
          <t>Toplam Δ</t>
        </is>
      </c>
      <c r="K3" s="2" t="inlineStr">
        <is>
          <t>Sezonluk payi 2026</t>
        </is>
      </c>
    </row>
    <row r="4">
      <c r="A4" s="3" t="inlineStr">
        <is>
          <t>YARDIMCI KİTAP</t>
        </is>
      </c>
      <c r="B4" s="4" t="n">
        <v>24</v>
      </c>
      <c r="C4" s="4" t="n">
        <v>30</v>
      </c>
      <c r="D4" s="14">
        <f>C4-B4</f>
        <v/>
      </c>
      <c r="E4" s="4" t="n">
        <v>23</v>
      </c>
      <c r="F4" s="4" t="n">
        <v>19</v>
      </c>
      <c r="G4" s="14">
        <f>F4-E4</f>
        <v/>
      </c>
      <c r="H4" s="4">
        <f>B4+E4</f>
        <v/>
      </c>
      <c r="I4" s="4">
        <f>C4+F4</f>
        <v/>
      </c>
      <c r="J4" s="14">
        <f>I4-H4</f>
        <v/>
      </c>
      <c r="K4" s="27">
        <f>IF(I4=0,"",F4/I4)</f>
        <v/>
      </c>
    </row>
    <row r="5">
      <c r="A5" s="3" t="inlineStr">
        <is>
          <t>KIRTASİYE</t>
        </is>
      </c>
      <c r="B5" s="4" t="n">
        <v>22</v>
      </c>
      <c r="C5" s="4" t="n">
        <v>25</v>
      </c>
      <c r="D5" s="14">
        <f>C5-B5</f>
        <v/>
      </c>
      <c r="E5" s="4" t="n">
        <v>25</v>
      </c>
      <c r="F5" s="4" t="n">
        <v>22</v>
      </c>
      <c r="G5" s="14">
        <f>F5-E5</f>
        <v/>
      </c>
      <c r="H5" s="4">
        <f>B5+E5</f>
        <v/>
      </c>
      <c r="I5" s="4">
        <f>C5+F5</f>
        <v/>
      </c>
      <c r="J5" s="14">
        <f>I5-H5</f>
        <v/>
      </c>
      <c r="K5" s="27">
        <f>IF(I5=0,"",F5/I5)</f>
        <v/>
      </c>
    </row>
    <row r="6">
      <c r="A6" s="3" t="inlineStr">
        <is>
          <t>KÜLTÜR</t>
        </is>
      </c>
      <c r="B6" s="4" t="n">
        <v>19</v>
      </c>
      <c r="C6" s="4" t="n">
        <v>20</v>
      </c>
      <c r="D6" s="14">
        <f>C6-B6</f>
        <v/>
      </c>
      <c r="E6" s="4" t="n">
        <v>0</v>
      </c>
      <c r="F6" s="4" t="n">
        <v>2</v>
      </c>
      <c r="G6" s="14">
        <f>F6-E6</f>
        <v/>
      </c>
      <c r="H6" s="4">
        <f>B6+E6</f>
        <v/>
      </c>
      <c r="I6" s="4">
        <f>C6+F6</f>
        <v/>
      </c>
      <c r="J6" s="14">
        <f>I6-H6</f>
        <v/>
      </c>
      <c r="K6" s="27">
        <f>IF(I6=0,"",F6/I6)</f>
        <v/>
      </c>
    </row>
    <row r="7">
      <c r="A7" s="3" t="inlineStr">
        <is>
          <t>KASA</t>
        </is>
      </c>
      <c r="B7" s="4" t="n">
        <v>13</v>
      </c>
      <c r="C7" s="4" t="n">
        <v>15</v>
      </c>
      <c r="D7" s="14">
        <f>C7-B7</f>
        <v/>
      </c>
      <c r="E7" s="4" t="n">
        <v>9</v>
      </c>
      <c r="F7" s="4" t="n">
        <v>9</v>
      </c>
      <c r="G7" s="14">
        <f>F7-E7</f>
        <v/>
      </c>
      <c r="H7" s="4">
        <f>B7+E7</f>
        <v/>
      </c>
      <c r="I7" s="4">
        <f>C7+F7</f>
        <v/>
      </c>
      <c r="J7" s="14">
        <f>I7-H7</f>
        <v/>
      </c>
      <c r="K7" s="27">
        <f>IF(I7=0,"",F7/I7)</f>
        <v/>
      </c>
    </row>
    <row r="8">
      <c r="A8" s="3" t="inlineStr">
        <is>
          <t>ÇOCUK</t>
        </is>
      </c>
      <c r="B8" s="4" t="n">
        <v>15</v>
      </c>
      <c r="C8" s="4" t="n">
        <v>14</v>
      </c>
      <c r="D8" s="14">
        <f>C8-B8</f>
        <v/>
      </c>
      <c r="E8" s="4" t="n">
        <v>3</v>
      </c>
      <c r="F8" s="4" t="n">
        <v>5</v>
      </c>
      <c r="G8" s="14">
        <f>F8-E8</f>
        <v/>
      </c>
      <c r="H8" s="4">
        <f>B8+E8</f>
        <v/>
      </c>
      <c r="I8" s="4">
        <f>C8+F8</f>
        <v/>
      </c>
      <c r="J8" s="14">
        <f>I8-H8</f>
        <v/>
      </c>
      <c r="K8" s="27">
        <f>IF(I8=0,"",F8/I8)</f>
        <v/>
      </c>
    </row>
    <row r="9">
      <c r="A9" s="3" t="inlineStr">
        <is>
          <t>OYUNCAK</t>
        </is>
      </c>
      <c r="B9" s="4" t="n">
        <v>9</v>
      </c>
      <c r="C9" s="4" t="n">
        <v>10</v>
      </c>
      <c r="D9" s="14">
        <f>C9-B9</f>
        <v/>
      </c>
      <c r="E9" s="4" t="n">
        <v>0</v>
      </c>
      <c r="F9" s="4" t="n">
        <v>0</v>
      </c>
      <c r="G9" s="14">
        <f>F9-E9</f>
        <v/>
      </c>
      <c r="H9" s="4">
        <f>B9+E9</f>
        <v/>
      </c>
      <c r="I9" s="4">
        <f>C9+F9</f>
        <v/>
      </c>
      <c r="J9" s="14">
        <f>I9-H9</f>
        <v/>
      </c>
      <c r="K9" s="27">
        <f>IF(I9=0,"",F9/I9)</f>
        <v/>
      </c>
    </row>
    <row r="10">
      <c r="A10" s="3" t="inlineStr">
        <is>
          <t>AKADEMİ</t>
        </is>
      </c>
      <c r="B10" s="4" t="n">
        <v>7</v>
      </c>
      <c r="C10" s="4" t="n">
        <v>9</v>
      </c>
      <c r="D10" s="14">
        <f>C10-B10</f>
        <v/>
      </c>
      <c r="E10" s="4" t="n">
        <v>1</v>
      </c>
      <c r="F10" s="4" t="n">
        <v>0</v>
      </c>
      <c r="G10" s="14">
        <f>F10-E10</f>
        <v/>
      </c>
      <c r="H10" s="4">
        <f>B10+E10</f>
        <v/>
      </c>
      <c r="I10" s="4">
        <f>C10+F10</f>
        <v/>
      </c>
      <c r="J10" s="14">
        <f>I10-H10</f>
        <v/>
      </c>
      <c r="K10" s="27">
        <f>IF(I10=0,"",F10/I10)</f>
        <v/>
      </c>
    </row>
    <row r="11">
      <c r="A11" s="3" t="inlineStr">
        <is>
          <t>MAĞAZA</t>
        </is>
      </c>
      <c r="B11" s="4" t="n">
        <v>8</v>
      </c>
      <c r="C11" s="4" t="n">
        <v>8</v>
      </c>
      <c r="D11" s="14">
        <f>C11-B11</f>
        <v/>
      </c>
      <c r="E11" s="4" t="n">
        <v>0</v>
      </c>
      <c r="F11" s="4" t="n">
        <v>0</v>
      </c>
      <c r="G11" s="14">
        <f>F11-E11</f>
        <v/>
      </c>
      <c r="H11" s="4">
        <f>B11+E11</f>
        <v/>
      </c>
      <c r="I11" s="4">
        <f>C11+F11</f>
        <v/>
      </c>
      <c r="J11" s="14">
        <f>I11-H11</f>
        <v/>
      </c>
      <c r="K11" s="27">
        <f>IF(I11=0,"",F11/I11)</f>
        <v/>
      </c>
    </row>
    <row r="12">
      <c r="A12" s="3" t="inlineStr">
        <is>
          <t>MAL KABUL</t>
        </is>
      </c>
      <c r="B12" s="4" t="n">
        <v>6</v>
      </c>
      <c r="C12" s="4" t="n">
        <v>6</v>
      </c>
      <c r="D12" s="14">
        <f>C12-B12</f>
        <v/>
      </c>
      <c r="E12" s="4" t="n">
        <v>1</v>
      </c>
      <c r="F12" s="4" t="n">
        <v>1</v>
      </c>
      <c r="G12" s="14">
        <f>F12-E12</f>
        <v/>
      </c>
      <c r="H12" s="4">
        <f>B12+E12</f>
        <v/>
      </c>
      <c r="I12" s="4">
        <f>C12+F12</f>
        <v/>
      </c>
      <c r="J12" s="14">
        <f>I12-H12</f>
        <v/>
      </c>
      <c r="K12" s="27">
        <f>IF(I12=0,"",F12/I12)</f>
        <v/>
      </c>
    </row>
    <row r="13">
      <c r="A13" s="3" t="inlineStr">
        <is>
          <t>İDARİ İŞLER</t>
        </is>
      </c>
      <c r="B13" s="4" t="n">
        <v>6</v>
      </c>
      <c r="C13" s="4" t="n">
        <v>6</v>
      </c>
      <c r="D13" s="14">
        <f>C13-B13</f>
        <v/>
      </c>
      <c r="E13" s="4" t="n">
        <v>0</v>
      </c>
      <c r="F13" s="4" t="n">
        <v>0</v>
      </c>
      <c r="G13" s="14">
        <f>F13-E13</f>
        <v/>
      </c>
      <c r="H13" s="4">
        <f>B13+E13</f>
        <v/>
      </c>
      <c r="I13" s="4">
        <f>C13+F13</f>
        <v/>
      </c>
      <c r="J13" s="14">
        <f>I13-H13</f>
        <v/>
      </c>
      <c r="K13" s="27">
        <f>IF(I13=0,"",F13/I13)</f>
        <v/>
      </c>
    </row>
    <row r="14">
      <c r="A14" s="3" t="inlineStr">
        <is>
          <t>ETKİNLİK</t>
        </is>
      </c>
      <c r="B14" s="4" t="n">
        <v>2</v>
      </c>
      <c r="C14" s="4" t="n">
        <v>3</v>
      </c>
      <c r="D14" s="14">
        <f>C14-B14</f>
        <v/>
      </c>
      <c r="E14" s="4" t="n">
        <v>0</v>
      </c>
      <c r="F14" s="4" t="n">
        <v>0</v>
      </c>
      <c r="G14" s="14">
        <f>F14-E14</f>
        <v/>
      </c>
      <c r="H14" s="4">
        <f>B14+E14</f>
        <v/>
      </c>
      <c r="I14" s="4">
        <f>C14+F14</f>
        <v/>
      </c>
      <c r="J14" s="14">
        <f>I14-H14</f>
        <v/>
      </c>
      <c r="K14" s="27">
        <f>IF(I14=0,"",F14/I14)</f>
        <v/>
      </c>
    </row>
    <row r="15">
      <c r="A15" s="3" t="inlineStr">
        <is>
          <t>ŞURA</t>
        </is>
      </c>
      <c r="B15" s="4" t="n">
        <v>1</v>
      </c>
      <c r="C15" s="4" t="n">
        <v>3</v>
      </c>
      <c r="D15" s="14">
        <f>C15-B15</f>
        <v/>
      </c>
      <c r="E15" s="4" t="n">
        <v>0</v>
      </c>
      <c r="F15" s="4" t="n">
        <v>0</v>
      </c>
      <c r="G15" s="14">
        <f>F15-E15</f>
        <v/>
      </c>
      <c r="H15" s="4">
        <f>B15+E15</f>
        <v/>
      </c>
      <c r="I15" s="4">
        <f>C15+F15</f>
        <v/>
      </c>
      <c r="J15" s="14">
        <f>I15-H15</f>
        <v/>
      </c>
      <c r="K15" s="27">
        <f>IF(I15=0,"",F15/I15)</f>
        <v/>
      </c>
    </row>
    <row r="16">
      <c r="A16" s="3" t="inlineStr">
        <is>
          <t>ÖN MUHASEBE</t>
        </is>
      </c>
      <c r="B16" s="4" t="n">
        <v>1</v>
      </c>
      <c r="C16" s="4" t="n">
        <v>0</v>
      </c>
      <c r="D16" s="14">
        <f>C16-B16</f>
        <v/>
      </c>
      <c r="E16" s="4" t="n">
        <v>0</v>
      </c>
      <c r="F16" s="4" t="n">
        <v>0</v>
      </c>
      <c r="G16" s="14">
        <f>F16-E16</f>
        <v/>
      </c>
      <c r="H16" s="4">
        <f>B16+E16</f>
        <v/>
      </c>
      <c r="I16" s="4">
        <f>C16+F16</f>
        <v/>
      </c>
      <c r="J16" s="14">
        <f>I16-H16</f>
        <v/>
      </c>
      <c r="K16" s="27">
        <f>IF(I16=0,"",F16/I16)</f>
        <v/>
      </c>
    </row>
    <row r="17">
      <c r="A17" s="3" t="inlineStr">
        <is>
          <t>MUHASEBE</t>
        </is>
      </c>
      <c r="B17" s="4" t="n">
        <v>1</v>
      </c>
      <c r="C17" s="4" t="n">
        <v>0</v>
      </c>
      <c r="D17" s="14">
        <f>C17-B17</f>
        <v/>
      </c>
      <c r="E17" s="4" t="n">
        <v>0</v>
      </c>
      <c r="F17" s="4" t="n">
        <v>0</v>
      </c>
      <c r="G17" s="14">
        <f>F17-E17</f>
        <v/>
      </c>
      <c r="H17" s="4">
        <f>B17+E17</f>
        <v/>
      </c>
      <c r="I17" s="4">
        <f>C17+F17</f>
        <v/>
      </c>
      <c r="J17" s="14">
        <f>I17-H17</f>
        <v/>
      </c>
      <c r="K17" s="27">
        <f>IF(I17=0,"",F17/I17)</f>
        <v/>
      </c>
    </row>
    <row r="18">
      <c r="A18" s="3" t="inlineStr">
        <is>
          <t>BİLGİ İŞLEM</t>
        </is>
      </c>
      <c r="B18" s="4" t="n">
        <v>1</v>
      </c>
      <c r="C18" s="4" t="n">
        <v>0</v>
      </c>
      <c r="D18" s="14">
        <f>C18-B18</f>
        <v/>
      </c>
      <c r="E18" s="4" t="n">
        <v>0</v>
      </c>
      <c r="F18" s="4" t="n">
        <v>0</v>
      </c>
      <c r="G18" s="14">
        <f>F18-E18</f>
        <v/>
      </c>
      <c r="H18" s="4">
        <f>B18+E18</f>
        <v/>
      </c>
      <c r="I18" s="4">
        <f>C18+F18</f>
        <v/>
      </c>
      <c r="J18" s="14">
        <f>I18-H18</f>
        <v/>
      </c>
      <c r="K18" s="27">
        <f>IF(I18=0,"",F18/I18)</f>
        <v/>
      </c>
    </row>
    <row r="19">
      <c r="A19" s="3" t="inlineStr">
        <is>
          <t>KIYAFET</t>
        </is>
      </c>
      <c r="B19" s="4" t="n">
        <v>0</v>
      </c>
      <c r="C19" s="4" t="n">
        <v>0</v>
      </c>
      <c r="D19" s="14">
        <f>C19-B19</f>
        <v/>
      </c>
      <c r="E19" s="4" t="n">
        <v>3</v>
      </c>
      <c r="F19" s="4" t="n">
        <v>4</v>
      </c>
      <c r="G19" s="14">
        <f>F19-E19</f>
        <v/>
      </c>
      <c r="H19" s="4">
        <f>B19+E19</f>
        <v/>
      </c>
      <c r="I19" s="4">
        <f>C19+F19</f>
        <v/>
      </c>
      <c r="J19" s="14">
        <f>I19-H19</f>
        <v/>
      </c>
      <c r="K19" s="27">
        <f>IF(I19=0,"",F19/I19)</f>
        <v/>
      </c>
    </row>
    <row r="20">
      <c r="A20" s="20" t="inlineStr">
        <is>
          <t>TOPLAM</t>
        </is>
      </c>
      <c r="B20" s="21">
        <f>SUM(B4:B19)</f>
        <v/>
      </c>
      <c r="C20" s="21">
        <f>SUM(C4:C19)</f>
        <v/>
      </c>
      <c r="D20" s="25">
        <f>C20-B20</f>
        <v/>
      </c>
      <c r="E20" s="21">
        <f>SUM(E4:E19)</f>
        <v/>
      </c>
      <c r="F20" s="21">
        <f>SUM(F4:F19)</f>
        <v/>
      </c>
      <c r="G20" s="26">
        <f>F20-E20</f>
        <v/>
      </c>
      <c r="H20" s="21">
        <f>B20+E20</f>
        <v/>
      </c>
      <c r="I20" s="21">
        <f>C20+F20</f>
        <v/>
      </c>
      <c r="J20" s="26">
        <f>I20-H20</f>
        <v/>
      </c>
      <c r="K20" s="28">
        <f>IF(I20=0,"",F20/I20)</f>
        <v/>
      </c>
    </row>
    <row r="22">
      <c r="A22" s="16" t="inlineStr">
        <is>
          <t>OKUNACAK NOKTA: yonetim (MAGAZA departmani) ve MAL KABUL BUYUMEDI — artis satis/kasa tarafinda.</t>
        </is>
      </c>
    </row>
    <row r="23">
      <c r="A23" s="16" t="inlineStr">
        <is>
          <t>Sezonluk payi yuksek bolumler (KIRTASIYE, YARDIMCI KITAP, KIYAFET) sezon yuku tasiyan reyonlar;</t>
        </is>
      </c>
    </row>
    <row r="24">
      <c r="A24" s="16" t="inlineStr">
        <is>
          <t xml:space="preserve">   oradaki kisi artisi kalici kadro degil, Eylul sonunda tahliye edilir.</t>
        </is>
      </c>
    </row>
    <row r="25">
      <c r="A25" s="16" t="inlineStr">
        <is>
          <t>Bolum = Zirve 'Departman' alani (reyon). Bir kisi tek bolumde sayilir; toplam kapsam sayimiyla mutabik.</t>
        </is>
      </c>
    </row>
    <row r="26">
      <c r="A26" s="16" t="inlineStr">
        <is>
          <t>Devir (turnover) bolum bazinda AYRI olculdu: en bozuk COCUK %179 · IDARI ISLER %183 · KASA %160;</t>
        </is>
      </c>
    </row>
    <row r="27">
      <c r="A27" s="16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" t="inlineStr">
        <is>
          <t>Kisi basi is — 4 yillik trend (uc POS magazasi, Ocak-Agustos kumulatif, Sinav haric)</t>
        </is>
      </c>
    </row>
    <row r="3" ht="30" customHeight="1">
      <c r="A3" s="2" t="inlineStr">
        <is>
          <t>Yil</t>
        </is>
      </c>
      <c r="B3" s="2" t="inlineStr">
        <is>
          <t>Kadrolu (31.08)</t>
        </is>
      </c>
      <c r="C3" s="2" t="inlineStr">
        <is>
          <t>Urun adedi (Oca-Agu)</t>
        </is>
      </c>
      <c r="D3" s="2" t="inlineStr">
        <is>
          <t>Adet / kisi</t>
        </is>
      </c>
      <c r="E3" s="2" t="inlineStr">
        <is>
          <t>Onceki yila gore</t>
        </is>
      </c>
    </row>
    <row r="4">
      <c r="A4" s="3" t="n">
        <v>2023</v>
      </c>
      <c r="B4" s="4" t="n">
        <v>60</v>
      </c>
      <c r="C4" s="4" t="n">
        <v>2064284.43</v>
      </c>
      <c r="D4" s="29">
        <f>C4/B4</f>
        <v/>
      </c>
      <c r="E4" s="3" t="inlineStr">
        <is>
          <t>—</t>
        </is>
      </c>
    </row>
    <row r="5">
      <c r="A5" s="3" t="n">
        <v>2024</v>
      </c>
      <c r="B5" s="4" t="n">
        <v>91</v>
      </c>
      <c r="C5" s="4" t="n">
        <v>2296833.43</v>
      </c>
      <c r="D5" s="29">
        <f>C5/B5</f>
        <v/>
      </c>
      <c r="E5" s="5">
        <f>D5/D4-1</f>
        <v/>
      </c>
    </row>
    <row r="6">
      <c r="A6" s="3" t="n">
        <v>2025</v>
      </c>
      <c r="B6" s="4" t="n">
        <v>96</v>
      </c>
      <c r="C6" s="4" t="n">
        <v>2752385.04</v>
      </c>
      <c r="D6" s="29">
        <f>C6/B6</f>
        <v/>
      </c>
      <c r="E6" s="5">
        <f>D6/D5-1</f>
        <v/>
      </c>
    </row>
    <row r="7">
      <c r="A7" s="3" t="n">
        <v>2026</v>
      </c>
      <c r="B7" s="4" t="n">
        <v>111</v>
      </c>
      <c r="C7" s="4" t="n">
        <v>3607308.91</v>
      </c>
      <c r="D7" s="29">
        <f>C7/B7</f>
        <v/>
      </c>
      <c r="E7" s="5">
        <f>D7/D6-1</f>
        <v/>
      </c>
    </row>
    <row r="9">
      <c r="A9" s="16" t="inlineStr">
        <is>
          <t>2024 ATLAMASI: kadrolu 60 -&gt; 91, adet yalniz +%11 -&gt; kisi basi is -%27. Kadro sismesi 2024'te oldu.</t>
        </is>
      </c>
    </row>
    <row r="10">
      <c r="A10" s="16" t="inlineStr">
        <is>
          <t>AMA 2023 verimliligi 'norm' DEGIL: 2023'te FSM kasada 0 kisi, Ozluce kasada 1 kisi vardi (eksik kadroyla calisma).</t>
        </is>
      </c>
    </row>
    <row r="11">
      <c r="A11" s="16" t="inlineStr">
        <is>
          <t>2024 -&gt; 2026: kisi basi is +%28,8 toparlanma. Bu yil kadro +15 kisi buyurken kisi basi is de artti.</t>
        </is>
      </c>
    </row>
    <row r="12">
      <c r="A12" s="16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" t="inlineStr">
        <is>
          <t>"Buyume kurumsaldan geldi" itirazinin cevabi — Ocak-Agustos, uc POS magazasi</t>
        </is>
      </c>
    </row>
    <row r="3" ht="30" customHeight="1">
      <c r="A3" s="2" t="inlineStr">
        <is>
          <t>Kanal</t>
        </is>
      </c>
      <c r="B3" s="2" t="inlineStr">
        <is>
          <t>Adet 2025</t>
        </is>
      </c>
      <c r="C3" s="2" t="inlineStr">
        <is>
          <t>Adet 2026</t>
        </is>
      </c>
      <c r="D3" s="2" t="inlineStr">
        <is>
          <t>Adet Δ%</t>
        </is>
      </c>
      <c r="E3" s="2" t="inlineStr">
        <is>
          <t>Ciro 2025 (KDV dahil)</t>
        </is>
      </c>
      <c r="F3" s="2" t="inlineStr">
        <is>
          <t>Ciro 2026 (KDV dahil)</t>
        </is>
      </c>
      <c r="G3" s="2" t="inlineStr">
        <is>
          <t>Ciro Δ%</t>
        </is>
      </c>
    </row>
    <row r="4">
      <c r="A4" s="3" t="inlineStr">
        <is>
          <t>Magaza (perakende raf)</t>
        </is>
      </c>
      <c r="B4" s="4" t="n">
        <v>2752385.04</v>
      </c>
      <c r="C4" s="4" t="n">
        <v>3607308.91</v>
      </c>
      <c r="D4" s="5">
        <f>C4/B4-1</f>
        <v/>
      </c>
      <c r="E4" s="4" t="n">
        <v>316059798.2202811</v>
      </c>
      <c r="F4" s="4" t="n">
        <v>489433287.7802867</v>
      </c>
      <c r="G4" s="5">
        <f>F4/E4-1</f>
        <v/>
      </c>
    </row>
    <row r="5">
      <c r="A5" s="3" t="inlineStr">
        <is>
          <t>Sinav Okullari (kurumsal)</t>
        </is>
      </c>
      <c r="B5" s="4" t="n">
        <v>33584</v>
      </c>
      <c r="C5" s="4" t="n">
        <v>21693</v>
      </c>
      <c r="D5" s="5">
        <f>C5/B5-1</f>
        <v/>
      </c>
      <c r="E5" s="4" t="n">
        <v>136108071.4499999</v>
      </c>
      <c r="F5" s="4" t="n">
        <v>105575646.1100004</v>
      </c>
      <c r="G5" s="5">
        <f>F5/E5-1</f>
        <v/>
      </c>
    </row>
    <row r="6">
      <c r="A6" s="20" t="inlineStr">
        <is>
          <t>TOPLAM</t>
        </is>
      </c>
      <c r="B6" s="21">
        <f>SUM(B4:B5)</f>
        <v/>
      </c>
      <c r="C6" s="21">
        <f>SUM(C4:C5)</f>
        <v/>
      </c>
      <c r="D6" s="22">
        <f>C6/B6-1</f>
        <v/>
      </c>
      <c r="E6" s="21">
        <f>SUM(E4:E5)</f>
        <v/>
      </c>
      <c r="F6" s="21">
        <f>SUM(F4:F5)</f>
        <v/>
      </c>
      <c r="G6" s="22">
        <f>F6/E6-1</f>
        <v/>
      </c>
    </row>
    <row r="8">
      <c r="A8" s="16" t="inlineStr">
        <is>
          <t>Sinav Okullari KUCULDU (adet -%35, ciro -%22). Buyumenin tamami magaza rafindan geldi.</t>
        </is>
      </c>
    </row>
    <row r="9">
      <c r="A9" s="16" t="inlineStr">
        <is>
          <t>Magaza tarafi kurumsal dususu de kapatti: toplam yine buyudu.</t>
        </is>
      </c>
    </row>
    <row r="10">
      <c r="A10" s="16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" t="inlineStr">
        <is>
          <t>Yontem ve kaynaklar</t>
        </is>
      </c>
    </row>
    <row r="3" ht="30" customHeight="1">
      <c r="A3" s="30" t="inlineStr">
        <is>
          <t>Baslik</t>
        </is>
      </c>
      <c r="B3" s="31" t="inlineStr">
        <is>
          <t>Kişi başı iş hacmi — sezon 2026 vs 2025</t>
        </is>
      </c>
    </row>
    <row r="4" ht="30" customHeight="1">
      <c r="A4" s="30" t="inlineStr">
        <is>
          <t>Kesim tarihi</t>
        </is>
      </c>
      <c r="B4" s="31" t="inlineStr">
        <is>
          <t>otomatik (veri sonu, okul-hizalı pencerede)</t>
        </is>
      </c>
    </row>
    <row r="5" ht="30" customHeight="1">
      <c r="A5" s="30" t="inlineStr">
        <is>
          <t>Pencere</t>
        </is>
      </c>
      <c r="B5" s="31" t="inlineStr">
        <is>
          <t>Okul açılışına hizalı: 2025 açılış 20250908, 2026 açılış 20260914; gün ofseti -69..-14 = her iki yıl 56 gün</t>
        </is>
      </c>
    </row>
    <row r="6" ht="30" customHeight="1">
      <c r="A6" s="30" t="inlineStr">
        <is>
          <t>Kadro kaynagi</t>
        </is>
      </c>
      <c r="B6" s="31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30" t="inlineStr">
        <is>
          <t>Is hacmi kaynagi</t>
        </is>
      </c>
      <c r="B7" s="31" t="inlineStr">
        <is>
          <t>DerinSIS irs/irsAyr eTip=100 (POS satışı), Sınav Okulları/Kıyafet hariç, iade netlenmiş</t>
        </is>
      </c>
    </row>
    <row r="8" ht="30" customHeight="1">
      <c r="A8" s="30" t="inlineStr">
        <is>
          <t>Cekirdek SQL</t>
        </is>
      </c>
      <c r="B8" s="31" t="inlineStr">
        <is>
          <t>sorgular/2026-09-02-kadro-vs-is-hacmi-savunma.sql (blok 11)</t>
        </is>
      </c>
    </row>
    <row r="10">
      <c r="A10" s="6" t="inlineStr">
        <is>
          <t>Dikkat edilecekler</t>
        </is>
      </c>
    </row>
    <row r="11" ht="28" customHeight="1">
      <c r="B11" s="32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32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32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32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32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32" t="inlineStr">
        <is>
          <t>• Fiş sayısı bu kaynakta yok: eTip 100 günlük özet belgedir (bir gün = bir belge).</t>
        </is>
      </c>
    </row>
    <row r="17" ht="28" customHeight="1">
      <c r="B17" s="32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2026-09-02T15:11:32Z</dcterms:created>
  <dcterms:modified xmlns:dcterms="http://purl.org/dc/terms/" xmlns:xsi="http://www.w3.org/2001/XMLSchema-instance" xsi:type="dcterms:W3CDTF">2026-09-02T15:11:32Z</dcterms:modified>
</cp:coreProperties>
</file>