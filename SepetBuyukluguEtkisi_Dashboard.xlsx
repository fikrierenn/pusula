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Veri" sheetId="1" state="visible" r:id="rId1"/>
    <sheet xmlns:r="http://schemas.openxmlformats.org/officeDocument/2006/relationships" name="ChartVeri" sheetId="2" state="visible" r:id="rId2"/>
    <sheet xmlns:r="http://schemas.openxmlformats.org/officeDocument/2006/relationships" name="Dashboard" sheetId="3" state="visible" r:id="rId3"/>
    <sheet xmlns:r="http://schemas.openxmlformats.org/officeDocument/2006/relationships" name="SQL Sorgu"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7">
    <font>
      <name val="Calibri"/>
      <family val="2"/>
      <color theme="1"/>
      <sz val="11"/>
      <scheme val="minor"/>
    </font>
    <font>
      <b val="1"/>
      <color rgb="00FFFFFF"/>
      <sz val="11"/>
    </font>
    <font>
      <b val="1"/>
      <color rgb="00FFFFFF"/>
      <sz val="9"/>
    </font>
    <font>
      <b val="1"/>
    </font>
    <font>
      <b val="1"/>
      <color rgb="00999999"/>
      <sz val="9"/>
    </font>
    <font>
      <b val="1"/>
      <color rgb="00FFFFFF"/>
      <sz val="14"/>
    </font>
    <font>
      <b val="1"/>
      <color rgb="001565C0"/>
      <sz val="16"/>
    </font>
    <font>
      <name val="Calibri"/>
      <color rgb="00FFFFFF"/>
      <sz val="9"/>
    </font>
    <font>
      <name val="Calibri"/>
      <b val="1"/>
      <color rgb="00FFFFFF"/>
      <sz val="16"/>
    </font>
    <font>
      <name val="Calibri"/>
      <color rgb="00A5D6A7"/>
      <sz val="9"/>
    </font>
    <font>
      <name val="Calibri"/>
      <b val="1"/>
      <color rgb="0069F0AE"/>
      <sz val="28"/>
    </font>
    <font>
      <name val="Calibri"/>
      <color rgb="00C8E6C9"/>
      <sz val="9"/>
    </font>
    <font>
      <name val="Calibri"/>
      <b val="1"/>
      <color rgb="0069F0AE"/>
      <sz val="20"/>
    </font>
    <font>
      <b val="1"/>
      <sz val="12"/>
    </font>
    <font>
      <color rgb="00666666"/>
      <sz val="10"/>
    </font>
    <font>
      <color rgb="00999999"/>
      <sz val="10"/>
    </font>
    <font>
      <name val="Consolas"/>
      <sz val="9"/>
    </font>
  </fonts>
  <fills count="7">
    <fill>
      <patternFill/>
    </fill>
    <fill>
      <patternFill patternType="gray125"/>
    </fill>
    <fill>
      <patternFill patternType="solid">
        <fgColor rgb="002E7D32"/>
        <bgColor rgb="002E7D32"/>
      </patternFill>
    </fill>
    <fill>
      <patternFill patternType="solid">
        <fgColor rgb="001565C0"/>
        <bgColor rgb="001565C0"/>
      </patternFill>
    </fill>
    <fill>
      <patternFill patternType="solid">
        <fgColor rgb="00E3F2FD"/>
        <bgColor rgb="00E3F2FD"/>
      </patternFill>
    </fill>
    <fill>
      <patternFill patternType="solid">
        <fgColor rgb="000D2137"/>
        <bgColor rgb="000D2137"/>
      </patternFill>
    </fill>
    <fill>
      <patternFill patternType="solid">
        <fgColor rgb="001B5E20"/>
        <bgColor rgb="001B5E20"/>
      </patternFill>
    </fill>
  </fills>
  <borders count="2">
    <border>
      <left/>
      <right/>
      <top/>
      <bottom/>
      <diagonal/>
    </border>
    <border>
      <left style="medium">
        <color rgb="001565C0"/>
      </left>
      <right style="medium">
        <color rgb="001565C0"/>
      </right>
      <top style="medium">
        <color rgb="001565C0"/>
      </top>
      <bottom style="medium">
        <color rgb="001565C0"/>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xf>
    <xf numFmtId="3" fontId="0" fillId="0" borderId="0" pivotButton="0" quotePrefix="0" xfId="0"/>
    <xf numFmtId="4" fontId="0" fillId="0" borderId="0" pivotButton="0" quotePrefix="0" xfId="0"/>
    <xf numFmtId="164" fontId="0" fillId="0" borderId="0" pivotButton="0" quotePrefix="0" xfId="0"/>
    <xf numFmtId="0" fontId="2" fillId="3" borderId="0" applyAlignment="1" pivotButton="0" quotePrefix="0" xfId="0">
      <alignment horizontal="center" wrapText="1"/>
    </xf>
    <xf numFmtId="0" fontId="3" fillId="0" borderId="0" pivotButton="0" quotePrefix="0" xfId="0"/>
    <xf numFmtId="0" fontId="3" fillId="4" borderId="0" pivotButton="0" quotePrefix="0" xfId="0"/>
    <xf numFmtId="4" fontId="0" fillId="4" borderId="0" pivotButton="0" quotePrefix="0" xfId="0"/>
    <xf numFmtId="3" fontId="0" fillId="4" borderId="0" pivotButton="0" quotePrefix="0" xfId="0"/>
    <xf numFmtId="164" fontId="0" fillId="4" borderId="0" pivotButton="0" quotePrefix="0" xfId="0"/>
    <xf numFmtId="0" fontId="4" fillId="0" borderId="0" pivotButton="0" quotePrefix="0" xfId="0"/>
    <xf numFmtId="0" fontId="0" fillId="5" borderId="0" pivotButton="0" quotePrefix="0" xfId="0"/>
    <xf numFmtId="0" fontId="5" fillId="3" borderId="0" applyAlignment="1" pivotButton="0" quotePrefix="0" xfId="0">
      <alignment horizontal="right" vertical="center"/>
    </xf>
    <xf numFmtId="0" fontId="0" fillId="3" borderId="0" pivotButton="0" quotePrefix="0" xfId="0"/>
    <xf numFmtId="0" fontId="6" fillId="4" borderId="1" applyAlignment="1" pivotButton="0" quotePrefix="0" xfId="0">
      <alignment horizontal="center" vertical="center"/>
    </xf>
    <xf numFmtId="0" fontId="0" fillId="4" borderId="1" pivotButton="0" quotePrefix="0" xfId="0"/>
    <xf numFmtId="0" fontId="7" fillId="5" borderId="0" applyAlignment="1" pivotButton="0" quotePrefix="0" xfId="0">
      <alignment horizontal="center" vertical="center"/>
    </xf>
    <xf numFmtId="3" fontId="8" fillId="5" borderId="0" applyAlignment="1" pivotButton="0" quotePrefix="0" xfId="0">
      <alignment horizontal="center" vertical="center"/>
    </xf>
    <xf numFmtId="49" fontId="8" fillId="5" borderId="0" applyAlignment="1" pivotButton="0" quotePrefix="0" xfId="0">
      <alignment horizontal="center" vertical="center"/>
    </xf>
    <xf numFmtId="4" fontId="8" fillId="5" borderId="0" applyAlignment="1" pivotButton="0" quotePrefix="0" xfId="0">
      <alignment horizontal="center" vertical="center"/>
    </xf>
    <xf numFmtId="0" fontId="9" fillId="6" borderId="0" applyAlignment="1" pivotButton="0" quotePrefix="0" xfId="0">
      <alignment horizontal="center" vertical="center"/>
    </xf>
    <xf numFmtId="0" fontId="10" fillId="6" borderId="0" applyAlignment="1" pivotButton="0" quotePrefix="0" xfId="0">
      <alignment horizontal="center" vertical="center"/>
    </xf>
    <xf numFmtId="165" fontId="10" fillId="6" borderId="0" applyAlignment="1" pivotButton="0" quotePrefix="0" xfId="0">
      <alignment horizontal="center" vertical="center"/>
    </xf>
    <xf numFmtId="3" fontId="12" fillId="6" borderId="0" applyAlignment="1" pivotButton="0" quotePrefix="0" xfId="0">
      <alignment horizontal="center" vertical="center"/>
    </xf>
    <xf numFmtId="0" fontId="11" fillId="6" borderId="0" applyAlignment="1" pivotButton="0" quotePrefix="0" xfId="0">
      <alignment horizontal="center" vertical="center"/>
    </xf>
    <xf numFmtId="0" fontId="13" fillId="0" borderId="0" pivotButton="0" quotePrefix="0" xfId="0"/>
    <xf numFmtId="0" fontId="14" fillId="0" borderId="0" pivotButton="0" quotePrefix="0" xfId="0"/>
    <xf numFmtId="0" fontId="15" fillId="0" borderId="0" pivotButton="0" quotePrefix="0" xfId="0"/>
    <xf numFmtId="0" fontId="16"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Ortalama Net Sepet Trend (₺)</a:t>
            </a:r>
          </a:p>
        </rich>
      </tx>
    </title>
    <plotArea>
      <lineChart>
        <grouping val="standard"/>
        <ser>
          <idx val="0"/>
          <order val="0"/>
          <tx>
            <strRef>
              <f>'ChartVeri'!B1</f>
            </strRef>
          </tx>
          <spPr>
            <a:ln xmlns:a="http://schemas.openxmlformats.org/drawingml/2006/main" w="25000">
              <a:solidFill>
                <a:srgbClr val="2563EB"/>
              </a:solidFill>
              <a:prstDash val="solid"/>
            </a:ln>
          </spPr>
          <marker>
            <symbol val="none"/>
            <spPr>
              <a:ln xmlns:a="http://schemas.openxmlformats.org/drawingml/2006/main">
                <a:prstDash val="solid"/>
              </a:ln>
            </spPr>
          </marker>
          <cat>
            <numRef>
              <f>'ChartVeri'!$A$2:$A$11</f>
            </numRef>
          </cat>
          <val>
            <numRef>
              <f>'ChartVeri'!$B$2:$B$11</f>
            </numRef>
          </val>
        </ser>
        <ser>
          <idx val="1"/>
          <order val="1"/>
          <tx>
            <strRef>
              <f>'ChartVeri'!C1</f>
            </strRef>
          </tx>
          <spPr>
            <a:ln xmlns:a="http://schemas.openxmlformats.org/drawingml/2006/main" w="25000">
              <a:solidFill>
                <a:srgbClr val="F59E0B"/>
              </a:solidFill>
              <a:prstDash val="solid"/>
            </a:ln>
          </spPr>
          <marker>
            <symbol val="none"/>
            <spPr>
              <a:ln xmlns:a="http://schemas.openxmlformats.org/drawingml/2006/main">
                <a:prstDash val="solid"/>
              </a:ln>
            </spPr>
          </marker>
          <cat>
            <numRef>
              <f>'ChartVeri'!$A$2:$A$11</f>
            </numRef>
          </cat>
          <val>
            <numRef>
              <f>'ChartVeri'!$C$2:$C$11</f>
            </numRef>
          </val>
        </ser>
        <ser>
          <idx val="2"/>
          <order val="2"/>
          <tx>
            <strRef>
              <f>'ChartVeri'!D1</f>
            </strRef>
          </tx>
          <spPr>
            <a:ln xmlns:a="http://schemas.openxmlformats.org/drawingml/2006/main" w="25000">
              <a:solidFill>
                <a:srgbClr val="6B7280"/>
              </a:solidFill>
              <a:prstDash val="solid"/>
            </a:ln>
          </spPr>
          <marker>
            <symbol val="none"/>
            <spPr>
              <a:ln xmlns:a="http://schemas.openxmlformats.org/drawingml/2006/main">
                <a:prstDash val="solid"/>
              </a:ln>
            </spPr>
          </marker>
          <cat>
            <numRef>
              <f>'ChartVeri'!$A$2:$A$11</f>
            </numRef>
          </cat>
          <val>
            <numRef>
              <f>'ChartVeri'!$D$2:$D$11</f>
            </numRef>
          </val>
        </ser>
        <axId val="10"/>
        <axId val="100"/>
      </lineChart>
      <catAx>
        <axId val="10"/>
        <scaling>
          <orientation val="minMax"/>
        </scaling>
        <axPos val="l"/>
        <title>
          <tx>
            <rich>
              <a:bodyPr xmlns:a="http://schemas.openxmlformats.org/drawingml/2006/main"/>
              <a:p xmlns:a="http://schemas.openxmlformats.org/drawingml/2006/main">
                <a:pPr>
                  <a:defRPr/>
                </a:pPr>
                <a:r>
                  <a:t>Ay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Toplam Net Ciro Trend (₺)</a:t>
            </a:r>
          </a:p>
        </rich>
      </tx>
    </title>
    <plotArea>
      <lineChart>
        <grouping val="standard"/>
        <ser>
          <idx val="0"/>
          <order val="0"/>
          <tx>
            <strRef>
              <f>'ChartVeri'!E1</f>
            </strRef>
          </tx>
          <spPr>
            <a:ln xmlns:a="http://schemas.openxmlformats.org/drawingml/2006/main" w="25000">
              <a:solidFill>
                <a:srgbClr val="2563EB"/>
              </a:solidFill>
              <a:prstDash val="solid"/>
            </a:ln>
          </spPr>
          <marker>
            <symbol val="none"/>
            <spPr>
              <a:ln xmlns:a="http://schemas.openxmlformats.org/drawingml/2006/main">
                <a:prstDash val="solid"/>
              </a:ln>
            </spPr>
          </marker>
          <cat>
            <numRef>
              <f>'ChartVeri'!$A$2:$A$11</f>
            </numRef>
          </cat>
          <val>
            <numRef>
              <f>'ChartVeri'!$E$2:$E$11</f>
            </numRef>
          </val>
        </ser>
        <ser>
          <idx val="1"/>
          <order val="1"/>
          <tx>
            <strRef>
              <f>'ChartVeri'!F1</f>
            </strRef>
          </tx>
          <spPr>
            <a:ln xmlns:a="http://schemas.openxmlformats.org/drawingml/2006/main" w="25000">
              <a:solidFill>
                <a:srgbClr val="F59E0B"/>
              </a:solidFill>
              <a:prstDash val="solid"/>
            </a:ln>
          </spPr>
          <marker>
            <symbol val="none"/>
            <spPr>
              <a:ln xmlns:a="http://schemas.openxmlformats.org/drawingml/2006/main">
                <a:prstDash val="solid"/>
              </a:ln>
            </spPr>
          </marker>
          <cat>
            <numRef>
              <f>'ChartVeri'!$A$2:$A$11</f>
            </numRef>
          </cat>
          <val>
            <numRef>
              <f>'ChartVeri'!$F$2:$F$11</f>
            </numRef>
          </val>
        </ser>
        <ser>
          <idx val="2"/>
          <order val="2"/>
          <tx>
            <strRef>
              <f>'ChartVeri'!G1</f>
            </strRef>
          </tx>
          <spPr>
            <a:ln xmlns:a="http://schemas.openxmlformats.org/drawingml/2006/main" w="25000">
              <a:solidFill>
                <a:srgbClr val="6B7280"/>
              </a:solidFill>
              <a:prstDash val="solid"/>
            </a:ln>
          </spPr>
          <marker>
            <symbol val="none"/>
            <spPr>
              <a:ln xmlns:a="http://schemas.openxmlformats.org/drawingml/2006/main">
                <a:prstDash val="solid"/>
              </a:ln>
            </spPr>
          </marker>
          <cat>
            <numRef>
              <f>'ChartVeri'!$A$2:$A$11</f>
            </numRef>
          </cat>
          <val>
            <numRef>
              <f>'ChartVeri'!$G$2:$G$11</f>
            </numRef>
          </val>
        </ser>
        <axId val="10"/>
        <axId val="100"/>
      </lineChart>
      <catAx>
        <axId val="10"/>
        <scaling>
          <orientation val="minMax"/>
        </scaling>
        <axPos val="l"/>
        <title>
          <tx>
            <rich>
              <a:bodyPr xmlns:a="http://schemas.openxmlformats.org/drawingml/2006/main"/>
              <a:p xmlns:a="http://schemas.openxmlformats.org/drawingml/2006/main">
                <a:pPr>
                  <a:defRPr/>
                </a:pPr>
                <a:r>
                  <a:t>Ay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numFmt formatCode="#,##0" sourceLinked="0"/>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Ortalama Ürün Adet Trend</a:t>
            </a:r>
          </a:p>
        </rich>
      </tx>
    </title>
    <plotArea>
      <lineChart>
        <grouping val="standard"/>
        <ser>
          <idx val="0"/>
          <order val="0"/>
          <tx>
            <strRef>
              <f>'ChartVeri'!K1</f>
            </strRef>
          </tx>
          <spPr>
            <a:ln xmlns:a="http://schemas.openxmlformats.org/drawingml/2006/main" w="25000">
              <a:solidFill>
                <a:srgbClr val="2563EB"/>
              </a:solidFill>
              <a:prstDash val="solid"/>
            </a:ln>
          </spPr>
          <marker>
            <symbol val="none"/>
            <spPr>
              <a:ln xmlns:a="http://schemas.openxmlformats.org/drawingml/2006/main">
                <a:prstDash val="solid"/>
              </a:ln>
            </spPr>
          </marker>
          <cat>
            <numRef>
              <f>'ChartVeri'!$A$2:$A$11</f>
            </numRef>
          </cat>
          <val>
            <numRef>
              <f>'ChartVeri'!$K$2:$K$11</f>
            </numRef>
          </val>
        </ser>
        <ser>
          <idx val="1"/>
          <order val="1"/>
          <tx>
            <strRef>
              <f>'ChartVeri'!L1</f>
            </strRef>
          </tx>
          <spPr>
            <a:ln xmlns:a="http://schemas.openxmlformats.org/drawingml/2006/main" w="25000">
              <a:solidFill>
                <a:srgbClr val="F59E0B"/>
              </a:solidFill>
              <a:prstDash val="solid"/>
            </a:ln>
          </spPr>
          <marker>
            <symbol val="none"/>
            <spPr>
              <a:ln xmlns:a="http://schemas.openxmlformats.org/drawingml/2006/main">
                <a:prstDash val="solid"/>
              </a:ln>
            </spPr>
          </marker>
          <cat>
            <numRef>
              <f>'ChartVeri'!$A$2:$A$11</f>
            </numRef>
          </cat>
          <val>
            <numRef>
              <f>'ChartVeri'!$L$2:$L$11</f>
            </numRef>
          </val>
        </ser>
        <ser>
          <idx val="2"/>
          <order val="2"/>
          <tx>
            <strRef>
              <f>'ChartVeri'!M1</f>
            </strRef>
          </tx>
          <spPr>
            <a:ln xmlns:a="http://schemas.openxmlformats.org/drawingml/2006/main" w="25000">
              <a:solidFill>
                <a:srgbClr val="6B7280"/>
              </a:solidFill>
              <a:prstDash val="solid"/>
            </a:ln>
          </spPr>
          <marker>
            <symbol val="none"/>
            <spPr>
              <a:ln xmlns:a="http://schemas.openxmlformats.org/drawingml/2006/main">
                <a:prstDash val="solid"/>
              </a:ln>
            </spPr>
          </marker>
          <cat>
            <numRef>
              <f>'ChartVeri'!$A$2:$A$11</f>
            </numRef>
          </cat>
          <val>
            <numRef>
              <f>'ChartVeri'!$M$2:$M$11</f>
            </numRef>
          </val>
        </ser>
        <axId val="10"/>
        <axId val="100"/>
      </lineChart>
      <catAx>
        <axId val="10"/>
        <scaling>
          <orientation val="minMax"/>
        </scaling>
        <axPos val="l"/>
        <title>
          <tx>
            <rich>
              <a:bodyPr xmlns:a="http://schemas.openxmlformats.org/drawingml/2006/main"/>
              <a:p xmlns:a="http://schemas.openxmlformats.org/drawingml/2006/main">
                <a:pPr>
                  <a:defRPr/>
                </a:pPr>
                <a:r>
                  <a:t>Ay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Adet</a:t>
                </a:r>
              </a:p>
            </rich>
          </tx>
        </title>
        <numFmt formatCode="0.0" sourceLinked="0"/>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İndirim Oranı Trend (%)</a:t>
            </a:r>
          </a:p>
        </rich>
      </tx>
    </title>
    <plotArea>
      <lineChart>
        <grouping val="standard"/>
        <ser>
          <idx val="0"/>
          <order val="0"/>
          <tx>
            <strRef>
              <f>'ChartVeri'!N1</f>
            </strRef>
          </tx>
          <spPr>
            <a:ln xmlns:a="http://schemas.openxmlformats.org/drawingml/2006/main" w="25000">
              <a:solidFill>
                <a:srgbClr val="2563EB"/>
              </a:solidFill>
              <a:prstDash val="solid"/>
            </a:ln>
          </spPr>
          <marker>
            <symbol val="none"/>
            <spPr>
              <a:ln xmlns:a="http://schemas.openxmlformats.org/drawingml/2006/main">
                <a:prstDash val="solid"/>
              </a:ln>
            </spPr>
          </marker>
          <cat>
            <numRef>
              <f>'ChartVeri'!$A$2:$A$11</f>
            </numRef>
          </cat>
          <val>
            <numRef>
              <f>'ChartVeri'!$N$2:$N$11</f>
            </numRef>
          </val>
        </ser>
        <ser>
          <idx val="1"/>
          <order val="1"/>
          <tx>
            <strRef>
              <f>'ChartVeri'!O1</f>
            </strRef>
          </tx>
          <spPr>
            <a:ln xmlns:a="http://schemas.openxmlformats.org/drawingml/2006/main" w="25000">
              <a:solidFill>
                <a:srgbClr val="F59E0B"/>
              </a:solidFill>
              <a:prstDash val="solid"/>
            </a:ln>
          </spPr>
          <marker>
            <symbol val="none"/>
            <spPr>
              <a:ln xmlns:a="http://schemas.openxmlformats.org/drawingml/2006/main">
                <a:prstDash val="solid"/>
              </a:ln>
            </spPr>
          </marker>
          <cat>
            <numRef>
              <f>'ChartVeri'!$A$2:$A$11</f>
            </numRef>
          </cat>
          <val>
            <numRef>
              <f>'ChartVeri'!$O$2:$O$11</f>
            </numRef>
          </val>
        </ser>
        <ser>
          <idx val="2"/>
          <order val="2"/>
          <tx>
            <strRef>
              <f>'ChartVeri'!P1</f>
            </strRef>
          </tx>
          <spPr>
            <a:ln xmlns:a="http://schemas.openxmlformats.org/drawingml/2006/main" w="25000">
              <a:solidFill>
                <a:srgbClr val="6B7280"/>
              </a:solidFill>
              <a:prstDash val="solid"/>
            </a:ln>
          </spPr>
          <marker>
            <symbol val="none"/>
            <spPr>
              <a:ln xmlns:a="http://schemas.openxmlformats.org/drawingml/2006/main">
                <a:prstDash val="solid"/>
              </a:ln>
            </spPr>
          </marker>
          <cat>
            <numRef>
              <f>'ChartVeri'!$A$2:$A$11</f>
            </numRef>
          </cat>
          <val>
            <numRef>
              <f>'ChartVeri'!$P$2:$P$11</f>
            </numRef>
          </val>
        </ser>
        <axId val="10"/>
        <axId val="100"/>
      </lineChart>
      <catAx>
        <axId val="10"/>
        <scaling>
          <orientation val="minMax"/>
        </scaling>
        <axPos val="l"/>
        <title>
          <tx>
            <rich>
              <a:bodyPr xmlns:a="http://schemas.openxmlformats.org/drawingml/2006/main"/>
              <a:p xmlns:a="http://schemas.openxmlformats.org/drawingml/2006/main">
                <a:pPr>
                  <a:defRPr/>
                </a:pPr>
                <a:r>
                  <a:t>Ay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numFmt formatCode="0.0" sourceLinked="0"/>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Aylık Fiş Sayısı Karşılaştırma</a:t>
            </a:r>
          </a:p>
        </rich>
      </tx>
    </title>
    <plotArea>
      <barChart>
        <barDir val="col"/>
        <grouping val="clustered"/>
        <ser>
          <idx val="0"/>
          <order val="0"/>
          <tx>
            <strRef>
              <f>'ChartVeri'!H1</f>
            </strRef>
          </tx>
          <spPr>
            <a:solidFill xmlns:a="http://schemas.openxmlformats.org/drawingml/2006/main">
              <a:srgbClr val="2563EB"/>
            </a:solidFill>
            <a:ln xmlns:a="http://schemas.openxmlformats.org/drawingml/2006/main">
              <a:prstDash val="solid"/>
            </a:ln>
          </spPr>
          <cat>
            <numRef>
              <f>'ChartVeri'!$A$2:$A$11</f>
            </numRef>
          </cat>
          <val>
            <numRef>
              <f>'ChartVeri'!$H$2:$H$11</f>
            </numRef>
          </val>
        </ser>
        <ser>
          <idx val="1"/>
          <order val="1"/>
          <tx>
            <strRef>
              <f>'ChartVeri'!I1</f>
            </strRef>
          </tx>
          <spPr>
            <a:solidFill xmlns:a="http://schemas.openxmlformats.org/drawingml/2006/main">
              <a:srgbClr val="F59E0B"/>
            </a:solidFill>
            <a:ln xmlns:a="http://schemas.openxmlformats.org/drawingml/2006/main">
              <a:prstDash val="solid"/>
            </a:ln>
          </spPr>
          <cat>
            <numRef>
              <f>'ChartVeri'!$A$2:$A$11</f>
            </numRef>
          </cat>
          <val>
            <numRef>
              <f>'ChartVeri'!$I$2:$I$11</f>
            </numRef>
          </val>
        </ser>
        <ser>
          <idx val="2"/>
          <order val="2"/>
          <tx>
            <strRef>
              <f>'ChartVeri'!J1</f>
            </strRef>
          </tx>
          <spPr>
            <a:solidFill xmlns:a="http://schemas.openxmlformats.org/drawingml/2006/main">
              <a:srgbClr val="6B7280"/>
            </a:solidFill>
            <a:ln xmlns:a="http://schemas.openxmlformats.org/drawingml/2006/main">
              <a:prstDash val="solid"/>
            </a:ln>
          </spPr>
          <cat>
            <numRef>
              <f>'ChartVeri'!$A$2:$A$11</f>
            </numRef>
          </cat>
          <val>
            <numRef>
              <f>'ChartVeri'!$J$2:$J$11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Ay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Fiş Sayısı</a:t>
                </a:r>
              </a:p>
            </rich>
          </tx>
        </title>
        <numFmt formatCode="#,##0" sourceLinked="0"/>
        <majorTickMark val="none"/>
        <minorTickMark val="none"/>
        <crossAx val="10"/>
      </valAx>
    </plotArea>
    <legend>
      <legendPos val="r"/>
    </legend>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Net Ciro Dağılımı — Son Ay</a:t>
            </a:r>
          </a:p>
        </rich>
      </tx>
    </title>
    <plotArea>
      <pieChart>
        <varyColors val="1"/>
        <ser>
          <idx val="0"/>
          <order val="0"/>
          <tx>
            <strRef>
              <f>'ChartVeri'!B14</f>
            </strRef>
          </tx>
          <spPr>
            <a:ln xmlns:a="http://schemas.openxmlformats.org/drawingml/2006/main">
              <a:prstDash val="solid"/>
            </a:ln>
          </spPr>
          <dPt>
            <idx val="0"/>
            <spPr>
              <a:solidFill xmlns:a="http://schemas.openxmlformats.org/drawingml/2006/main">
                <a:srgbClr val="2563EB"/>
              </a:solidFill>
              <a:ln xmlns:a="http://schemas.openxmlformats.org/drawingml/2006/main">
                <a:prstDash val="solid"/>
              </a:ln>
            </spPr>
          </dPt>
          <dPt>
            <idx val="1"/>
            <spPr>
              <a:solidFill xmlns:a="http://schemas.openxmlformats.org/drawingml/2006/main">
                <a:srgbClr val="F59E0B"/>
              </a:solidFill>
              <a:ln xmlns:a="http://schemas.openxmlformats.org/drawingml/2006/main">
                <a:prstDash val="solid"/>
              </a:ln>
            </spPr>
          </dPt>
          <dPt>
            <idx val="2"/>
            <spPr>
              <a:solidFill xmlns:a="http://schemas.openxmlformats.org/drawingml/2006/main">
                <a:srgbClr val="6B7280"/>
              </a:solidFill>
              <a:ln xmlns:a="http://schemas.openxmlformats.org/drawingml/2006/main">
                <a:prstDash val="solid"/>
              </a:ln>
            </spPr>
          </dPt>
          <cat>
            <numRef>
              <f>'ChartVeri'!$A$15:$A$17</f>
            </numRef>
          </cat>
          <val>
            <numRef>
              <f>'ChartVeri'!$B$15:$B$17</f>
            </numRef>
          </val>
        </ser>
        <dLbls>
          <showCatName val="1"/>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drawing1.xml><?xml version="1.0" encoding="utf-8"?>
<wsDr xmlns="http://schemas.openxmlformats.org/drawingml/2006/spreadsheetDrawing">
  <oneCellAnchor>
    <from>
      <col>0</col>
      <colOff>0</colOff>
      <row>14</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14</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30</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30</row>
      <rowOff>0</rowOff>
    </from>
    <ext cx="6480000" cy="43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46</row>
      <rowOff>0</rowOff>
    </from>
    <ext cx="6480000" cy="43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9</col>
      <colOff>0</colOff>
      <row>46</row>
      <rowOff>0</rowOff>
    </from>
    <ext cx="5760000" cy="432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CAF50"/>
    <outlinePr summaryBelow="1" summaryRight="1"/>
    <pageSetUpPr/>
  </sheetPr>
  <dimension ref="A1:L121"/>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Magaza</t>
        </is>
      </c>
      <c r="B1" s="1" t="inlineStr">
        <is>
          <t>Ay</t>
        </is>
      </c>
      <c r="C1" s="1" t="inlineStr">
        <is>
          <t>Grup</t>
        </is>
      </c>
      <c r="D1" s="1" t="inlineStr">
        <is>
          <t>FisSayisi</t>
        </is>
      </c>
      <c r="E1" s="1" t="inlineStr">
        <is>
          <t>OrtBrutSepet</t>
        </is>
      </c>
      <c r="F1" s="1" t="inlineStr">
        <is>
          <t>OrtIndirimTutar</t>
        </is>
      </c>
      <c r="G1" s="1" t="inlineStr">
        <is>
          <t>OrtNetSepet</t>
        </is>
      </c>
      <c r="H1" s="1" t="inlineStr">
        <is>
          <t>OrtUrunAdet</t>
        </is>
      </c>
      <c r="I1" s="1" t="inlineStr">
        <is>
          <t>IndirimOrani</t>
        </is>
      </c>
      <c r="J1" s="1" t="inlineStr">
        <is>
          <t>ToplamBrutCiro</t>
        </is>
      </c>
      <c r="K1" s="1" t="inlineStr">
        <is>
          <t>ToplamIndirim</t>
        </is>
      </c>
      <c r="L1" s="1" t="inlineStr">
        <is>
          <t>ToplamNetCiro</t>
        </is>
      </c>
    </row>
    <row r="2">
      <c r="A2" t="inlineStr">
        <is>
          <t>TÜMÜ</t>
        </is>
      </c>
      <c r="B2" t="inlineStr">
        <is>
          <t>2025-07</t>
        </is>
      </c>
      <c r="C2" t="inlineStr">
        <is>
          <t>3Al2Ode</t>
        </is>
      </c>
      <c r="D2" s="2" t="n">
        <v>5313</v>
      </c>
      <c r="E2" s="3" t="n">
        <v>1411.9</v>
      </c>
      <c r="F2" s="3" t="n">
        <v>338.39</v>
      </c>
      <c r="G2" s="3" t="n">
        <v>1073.51</v>
      </c>
      <c r="H2" s="4" t="n">
        <v>7.1</v>
      </c>
      <c r="I2" s="4" t="n">
        <v>24</v>
      </c>
      <c r="J2" s="3" t="n">
        <v>7501427.13</v>
      </c>
      <c r="K2" s="3" t="n">
        <v>1797859.02</v>
      </c>
      <c r="L2" s="3" t="n">
        <v>5703568.11</v>
      </c>
    </row>
    <row r="3">
      <c r="A3" t="inlineStr">
        <is>
          <t>TÜMÜ</t>
        </is>
      </c>
      <c r="B3" t="inlineStr">
        <is>
          <t>2025-07</t>
        </is>
      </c>
      <c r="C3" t="inlineStr">
        <is>
          <t>DigerKampanya</t>
        </is>
      </c>
      <c r="D3" s="2" t="n">
        <v>7940</v>
      </c>
      <c r="E3" s="3" t="n">
        <v>604.25</v>
      </c>
      <c r="F3" s="3" t="n">
        <v>127.82</v>
      </c>
      <c r="G3" s="3" t="n">
        <v>476.43</v>
      </c>
      <c r="H3" s="4" t="n">
        <v>3.8</v>
      </c>
      <c r="I3" s="4" t="n">
        <v>21.2</v>
      </c>
      <c r="J3" s="3" t="n">
        <v>4797728.47</v>
      </c>
      <c r="K3" s="3" t="n">
        <v>1014875.83</v>
      </c>
      <c r="L3" s="3" t="n">
        <v>3782852.64</v>
      </c>
    </row>
    <row r="4">
      <c r="A4" t="inlineStr">
        <is>
          <t>TÜMÜ</t>
        </is>
      </c>
      <c r="B4" t="inlineStr">
        <is>
          <t>2025-07</t>
        </is>
      </c>
      <c r="C4" t="inlineStr">
        <is>
          <t>Kampanyasiz</t>
        </is>
      </c>
      <c r="D4" s="2" t="n">
        <v>9407</v>
      </c>
      <c r="E4" s="3" t="n">
        <v>374.85</v>
      </c>
      <c r="F4" s="3" t="n">
        <v>0</v>
      </c>
      <c r="G4" s="3" t="n">
        <v>374.85</v>
      </c>
      <c r="H4" s="4" t="n">
        <v>2.2</v>
      </c>
      <c r="I4" s="4" t="n">
        <v>0</v>
      </c>
      <c r="J4" s="3" t="n">
        <v>3526169.39</v>
      </c>
      <c r="K4" s="3" t="n">
        <v>0</v>
      </c>
      <c r="L4" s="3" t="n">
        <v>3526169.39</v>
      </c>
    </row>
    <row r="5">
      <c r="A5" t="inlineStr">
        <is>
          <t>TÜMÜ</t>
        </is>
      </c>
      <c r="B5" t="inlineStr">
        <is>
          <t>2025-08</t>
        </is>
      </c>
      <c r="C5" t="inlineStr">
        <is>
          <t>3Al2Ode</t>
        </is>
      </c>
      <c r="D5" s="2" t="n">
        <v>16231</v>
      </c>
      <c r="E5" s="3" t="n">
        <v>1640.68</v>
      </c>
      <c r="F5" s="3" t="n">
        <v>380.62</v>
      </c>
      <c r="G5" s="3" t="n">
        <v>1260.06</v>
      </c>
      <c r="H5" s="4" t="n">
        <v>7.9</v>
      </c>
      <c r="I5" s="4" t="n">
        <v>23.2</v>
      </c>
      <c r="J5" s="3" t="n">
        <v>26629950.01</v>
      </c>
      <c r="K5" s="3" t="n">
        <v>6177897.74</v>
      </c>
      <c r="L5" s="3" t="n">
        <v>20452052.27</v>
      </c>
    </row>
    <row r="6">
      <c r="A6" t="inlineStr">
        <is>
          <t>TÜMÜ</t>
        </is>
      </c>
      <c r="B6" t="inlineStr">
        <is>
          <t>2025-08</t>
        </is>
      </c>
      <c r="C6" t="inlineStr">
        <is>
          <t>DigerKampanya</t>
        </is>
      </c>
      <c r="D6" s="2" t="n">
        <v>23485</v>
      </c>
      <c r="E6" s="3" t="n">
        <v>939.02</v>
      </c>
      <c r="F6" s="3" t="n">
        <v>157.75</v>
      </c>
      <c r="G6" s="3" t="n">
        <v>781.27</v>
      </c>
      <c r="H6" s="4" t="n">
        <v>5.5</v>
      </c>
      <c r="I6" s="4" t="n">
        <v>16.8</v>
      </c>
      <c r="J6" s="3" t="n">
        <v>22052787.42</v>
      </c>
      <c r="K6" s="3" t="n">
        <v>3704678.29</v>
      </c>
      <c r="L6" s="3" t="n">
        <v>18348109.13</v>
      </c>
    </row>
    <row r="7">
      <c r="A7" t="inlineStr">
        <is>
          <t>TÜMÜ</t>
        </is>
      </c>
      <c r="B7" t="inlineStr">
        <is>
          <t>2025-08</t>
        </is>
      </c>
      <c r="C7" t="inlineStr">
        <is>
          <t>Kampanyasiz</t>
        </is>
      </c>
      <c r="D7" s="2" t="n">
        <v>28652</v>
      </c>
      <c r="E7" s="3" t="n">
        <v>436.6</v>
      </c>
      <c r="F7" s="3" t="n">
        <v>0</v>
      </c>
      <c r="G7" s="3" t="n">
        <v>436.6</v>
      </c>
      <c r="H7" s="4" t="n">
        <v>2.4</v>
      </c>
      <c r="I7" s="4" t="n">
        <v>0</v>
      </c>
      <c r="J7" s="3" t="n">
        <v>12509517.4</v>
      </c>
      <c r="K7" s="3" t="n">
        <v>0</v>
      </c>
      <c r="L7" s="3" t="n">
        <v>12509517.4</v>
      </c>
    </row>
    <row r="8">
      <c r="A8" t="inlineStr">
        <is>
          <t>TÜMÜ</t>
        </is>
      </c>
      <c r="B8" t="inlineStr">
        <is>
          <t>2025-09</t>
        </is>
      </c>
      <c r="C8" t="inlineStr">
        <is>
          <t>3Al2Ode</t>
        </is>
      </c>
      <c r="D8" s="2" t="n">
        <v>33930</v>
      </c>
      <c r="E8" s="3" t="n">
        <v>1923.79</v>
      </c>
      <c r="F8" s="3" t="n">
        <v>438.66</v>
      </c>
      <c r="G8" s="3" t="n">
        <v>1485.13</v>
      </c>
      <c r="H8" s="4" t="n">
        <v>8.5</v>
      </c>
      <c r="I8" s="4" t="n">
        <v>22.8</v>
      </c>
      <c r="J8" s="3" t="n">
        <v>65274122.97</v>
      </c>
      <c r="K8" s="3" t="n">
        <v>14883570.57</v>
      </c>
      <c r="L8" s="3" t="n">
        <v>50390552.4</v>
      </c>
    </row>
    <row r="9">
      <c r="A9" t="inlineStr">
        <is>
          <t>TÜMÜ</t>
        </is>
      </c>
      <c r="B9" t="inlineStr">
        <is>
          <t>2025-09</t>
        </is>
      </c>
      <c r="C9" t="inlineStr">
        <is>
          <t>DigerKampanya</t>
        </is>
      </c>
      <c r="D9" s="2" t="n">
        <v>42360</v>
      </c>
      <c r="E9" s="3" t="n">
        <v>1191.56</v>
      </c>
      <c r="F9" s="3" t="n">
        <v>199.6</v>
      </c>
      <c r="G9" s="3" t="n">
        <v>991.95</v>
      </c>
      <c r="H9" s="4" t="n">
        <v>7.3</v>
      </c>
      <c r="I9" s="4" t="n">
        <v>16.8</v>
      </c>
      <c r="J9" s="3" t="n">
        <v>50474397.46</v>
      </c>
      <c r="K9" s="3" t="n">
        <v>8455224.199999999</v>
      </c>
      <c r="L9" s="3" t="n">
        <v>42019173.26</v>
      </c>
    </row>
    <row r="10">
      <c r="A10" t="inlineStr">
        <is>
          <t>TÜMÜ</t>
        </is>
      </c>
      <c r="B10" t="inlineStr">
        <is>
          <t>2025-09</t>
        </is>
      </c>
      <c r="C10" t="inlineStr">
        <is>
          <t>Kampanyasiz</t>
        </is>
      </c>
      <c r="D10" s="2" t="n">
        <v>42189</v>
      </c>
      <c r="E10" s="3" t="n">
        <v>527.15</v>
      </c>
      <c r="F10" s="3" t="n">
        <v>0</v>
      </c>
      <c r="G10" s="3" t="n">
        <v>527.15</v>
      </c>
      <c r="H10" s="4" t="n">
        <v>2.9</v>
      </c>
      <c r="I10" s="4" t="n">
        <v>0</v>
      </c>
      <c r="J10" s="3" t="n">
        <v>22240070.08</v>
      </c>
      <c r="K10" s="3" t="n">
        <v>0</v>
      </c>
      <c r="L10" s="3" t="n">
        <v>22240070.08</v>
      </c>
    </row>
    <row r="11">
      <c r="A11" t="inlineStr">
        <is>
          <t>TÜMÜ</t>
        </is>
      </c>
      <c r="B11" t="inlineStr">
        <is>
          <t>2025-10</t>
        </is>
      </c>
      <c r="C11" t="inlineStr">
        <is>
          <t>3Al2Ode</t>
        </is>
      </c>
      <c r="D11" s="2" t="n">
        <v>27865</v>
      </c>
      <c r="E11" s="3" t="n">
        <v>1583.22</v>
      </c>
      <c r="F11" s="3" t="n">
        <v>384.49</v>
      </c>
      <c r="G11" s="3" t="n">
        <v>1198.73</v>
      </c>
      <c r="H11" s="4" t="n">
        <v>7.3</v>
      </c>
      <c r="I11" s="4" t="n">
        <v>24.3</v>
      </c>
      <c r="J11" s="3" t="n">
        <v>44116376.28</v>
      </c>
      <c r="K11" s="3" t="n">
        <v>10713719.82</v>
      </c>
      <c r="L11" s="3" t="n">
        <v>33402656.46</v>
      </c>
    </row>
    <row r="12">
      <c r="A12" t="inlineStr">
        <is>
          <t>TÜMÜ</t>
        </is>
      </c>
      <c r="B12" t="inlineStr">
        <is>
          <t>2025-10</t>
        </is>
      </c>
      <c r="C12" t="inlineStr">
        <is>
          <t>DigerKampanya</t>
        </is>
      </c>
      <c r="D12" s="2" t="n">
        <v>37391</v>
      </c>
      <c r="E12" s="3" t="n">
        <v>701.4299999999999</v>
      </c>
      <c r="F12" s="3" t="n">
        <v>122.31</v>
      </c>
      <c r="G12" s="3" t="n">
        <v>579.13</v>
      </c>
      <c r="H12" s="4" t="n">
        <v>4.5</v>
      </c>
      <c r="I12" s="4" t="n">
        <v>17.4</v>
      </c>
      <c r="J12" s="3" t="n">
        <v>26227227.24</v>
      </c>
      <c r="K12" s="3" t="n">
        <v>4573110.3</v>
      </c>
      <c r="L12" s="3" t="n">
        <v>21654116.94</v>
      </c>
    </row>
    <row r="13">
      <c r="A13" t="inlineStr">
        <is>
          <t>TÜMÜ</t>
        </is>
      </c>
      <c r="B13" t="inlineStr">
        <is>
          <t>2025-10</t>
        </is>
      </c>
      <c r="C13" t="inlineStr">
        <is>
          <t>Kampanyasiz</t>
        </is>
      </c>
      <c r="D13" s="2" t="n">
        <v>40168</v>
      </c>
      <c r="E13" s="3" t="n">
        <v>385.81</v>
      </c>
      <c r="F13" s="3" t="n">
        <v>0</v>
      </c>
      <c r="G13" s="3" t="n">
        <v>385.81</v>
      </c>
      <c r="H13" s="4" t="n">
        <v>2.3</v>
      </c>
      <c r="I13" s="4" t="n">
        <v>0</v>
      </c>
      <c r="J13" s="3" t="n">
        <v>15497053.83</v>
      </c>
      <c r="K13" s="3" t="n">
        <v>0</v>
      </c>
      <c r="L13" s="3" t="n">
        <v>15497053.83</v>
      </c>
    </row>
    <row r="14">
      <c r="A14" t="inlineStr">
        <is>
          <t>TÜMÜ</t>
        </is>
      </c>
      <c r="B14" t="inlineStr">
        <is>
          <t>2025-11</t>
        </is>
      </c>
      <c r="C14" t="inlineStr">
        <is>
          <t>3Al2Ode</t>
        </is>
      </c>
      <c r="D14" s="2" t="n">
        <v>22300</v>
      </c>
      <c r="E14" s="3" t="n">
        <v>1494.93</v>
      </c>
      <c r="F14" s="3" t="n">
        <v>363.58</v>
      </c>
      <c r="G14" s="3" t="n">
        <v>1131.35</v>
      </c>
      <c r="H14" s="4" t="n">
        <v>7.2</v>
      </c>
      <c r="I14" s="4" t="n">
        <v>24.3</v>
      </c>
      <c r="J14" s="3" t="n">
        <v>33337040.23</v>
      </c>
      <c r="K14" s="3" t="n">
        <v>8107864.59</v>
      </c>
      <c r="L14" s="3" t="n">
        <v>25229175.64</v>
      </c>
    </row>
    <row r="15">
      <c r="A15" t="inlineStr">
        <is>
          <t>TÜMÜ</t>
        </is>
      </c>
      <c r="B15" t="inlineStr">
        <is>
          <t>2025-11</t>
        </is>
      </c>
      <c r="C15" t="inlineStr">
        <is>
          <t>DigerKampanya</t>
        </is>
      </c>
      <c r="D15" s="2" t="n">
        <v>33948</v>
      </c>
      <c r="E15" s="3" t="n">
        <v>652.98</v>
      </c>
      <c r="F15" s="3" t="n">
        <v>125.13</v>
      </c>
      <c r="G15" s="3" t="n">
        <v>527.85</v>
      </c>
      <c r="H15" s="4" t="n">
        <v>4.4</v>
      </c>
      <c r="I15" s="4" t="n">
        <v>19.2</v>
      </c>
      <c r="J15" s="3" t="n">
        <v>22167440.96</v>
      </c>
      <c r="K15" s="3" t="n">
        <v>4247918.19</v>
      </c>
      <c r="L15" s="3" t="n">
        <v>17919522.77</v>
      </c>
    </row>
    <row r="16">
      <c r="A16" t="inlineStr">
        <is>
          <t>TÜMÜ</t>
        </is>
      </c>
      <c r="B16" t="inlineStr">
        <is>
          <t>2025-11</t>
        </is>
      </c>
      <c r="C16" t="inlineStr">
        <is>
          <t>Kampanyasiz</t>
        </is>
      </c>
      <c r="D16" s="2" t="n">
        <v>37982</v>
      </c>
      <c r="E16" s="3" t="n">
        <v>366.85</v>
      </c>
      <c r="F16" s="3" t="n">
        <v>0</v>
      </c>
      <c r="G16" s="3" t="n">
        <v>366.85</v>
      </c>
      <c r="H16" s="4" t="n">
        <v>2.3</v>
      </c>
      <c r="I16" s="4" t="n">
        <v>0</v>
      </c>
      <c r="J16" s="3" t="n">
        <v>13933840.45</v>
      </c>
      <c r="K16" s="3" t="n">
        <v>0</v>
      </c>
      <c r="L16" s="3" t="n">
        <v>13933840.45</v>
      </c>
    </row>
    <row r="17">
      <c r="A17" t="inlineStr">
        <is>
          <t>TÜMÜ</t>
        </is>
      </c>
      <c r="B17" t="inlineStr">
        <is>
          <t>2025-12</t>
        </is>
      </c>
      <c r="C17" t="inlineStr">
        <is>
          <t>3Al2Ode</t>
        </is>
      </c>
      <c r="D17" s="2" t="n">
        <v>21692</v>
      </c>
      <c r="E17" s="3" t="n">
        <v>1509.59</v>
      </c>
      <c r="F17" s="3" t="n">
        <v>357.31</v>
      </c>
      <c r="G17" s="3" t="n">
        <v>1152.28</v>
      </c>
      <c r="H17" s="4" t="n">
        <v>7</v>
      </c>
      <c r="I17" s="4" t="n">
        <v>23.7</v>
      </c>
      <c r="J17" s="3" t="n">
        <v>32746018.18</v>
      </c>
      <c r="K17" s="3" t="n">
        <v>7750731.82</v>
      </c>
      <c r="L17" s="3" t="n">
        <v>24995286.36</v>
      </c>
    </row>
    <row r="18">
      <c r="A18" t="inlineStr">
        <is>
          <t>TÜMÜ</t>
        </is>
      </c>
      <c r="B18" t="inlineStr">
        <is>
          <t>2025-12</t>
        </is>
      </c>
      <c r="C18" t="inlineStr">
        <is>
          <t>DigerKampanya</t>
        </is>
      </c>
      <c r="D18" s="2" t="n">
        <v>39289</v>
      </c>
      <c r="E18" s="3" t="n">
        <v>728.24</v>
      </c>
      <c r="F18" s="3" t="n">
        <v>144.99</v>
      </c>
      <c r="G18" s="3" t="n">
        <v>583.25</v>
      </c>
      <c r="H18" s="4" t="n">
        <v>4.4</v>
      </c>
      <c r="I18" s="4" t="n">
        <v>19.9</v>
      </c>
      <c r="J18" s="3" t="n">
        <v>28611744.84</v>
      </c>
      <c r="K18" s="3" t="n">
        <v>5696521.71</v>
      </c>
      <c r="L18" s="3" t="n">
        <v>22915223.13</v>
      </c>
    </row>
    <row r="19">
      <c r="A19" t="inlineStr">
        <is>
          <t>TÜMÜ</t>
        </is>
      </c>
      <c r="B19" t="inlineStr">
        <is>
          <t>2025-12</t>
        </is>
      </c>
      <c r="C19" t="inlineStr">
        <is>
          <t>Kampanyasiz</t>
        </is>
      </c>
      <c r="D19" s="2" t="n">
        <v>41137</v>
      </c>
      <c r="E19" s="3" t="n">
        <v>409.49</v>
      </c>
      <c r="F19" s="3" t="n">
        <v>0</v>
      </c>
      <c r="G19" s="3" t="n">
        <v>409.49</v>
      </c>
      <c r="H19" s="4" t="n">
        <v>2.4</v>
      </c>
      <c r="I19" s="4" t="n">
        <v>0</v>
      </c>
      <c r="J19" s="3" t="n">
        <v>16845152.64</v>
      </c>
      <c r="K19" s="3" t="n">
        <v>0</v>
      </c>
      <c r="L19" s="3" t="n">
        <v>16845152.64</v>
      </c>
    </row>
    <row r="20">
      <c r="A20" t="inlineStr">
        <is>
          <t>TÜMÜ</t>
        </is>
      </c>
      <c r="B20" t="inlineStr">
        <is>
          <t>2026-01</t>
        </is>
      </c>
      <c r="C20" t="inlineStr">
        <is>
          <t>3Al2Ode</t>
        </is>
      </c>
      <c r="D20" s="2" t="n">
        <v>25900</v>
      </c>
      <c r="E20" s="3" t="n">
        <v>1582.14</v>
      </c>
      <c r="F20" s="3" t="n">
        <v>376.81</v>
      </c>
      <c r="G20" s="3" t="n">
        <v>1205.33</v>
      </c>
      <c r="H20" s="4" t="n">
        <v>7.4</v>
      </c>
      <c r="I20" s="4" t="n">
        <v>23.8</v>
      </c>
      <c r="J20" s="3" t="n">
        <v>40977342.99</v>
      </c>
      <c r="K20" s="3" t="n">
        <v>9759273.91</v>
      </c>
      <c r="L20" s="3" t="n">
        <v>31218069.08</v>
      </c>
    </row>
    <row r="21">
      <c r="A21" t="inlineStr">
        <is>
          <t>TÜMÜ</t>
        </is>
      </c>
      <c r="B21" t="inlineStr">
        <is>
          <t>2026-01</t>
        </is>
      </c>
      <c r="C21" t="inlineStr">
        <is>
          <t>DigerKampanya</t>
        </is>
      </c>
      <c r="D21" s="2" t="n">
        <v>42463</v>
      </c>
      <c r="E21" s="3" t="n">
        <v>683.67</v>
      </c>
      <c r="F21" s="3" t="n">
        <v>141.61</v>
      </c>
      <c r="G21" s="3" t="n">
        <v>542.0599999999999</v>
      </c>
      <c r="H21" s="4" t="n">
        <v>4.3</v>
      </c>
      <c r="I21" s="4" t="n">
        <v>20.7</v>
      </c>
      <c r="J21" s="3" t="n">
        <v>29030681.69</v>
      </c>
      <c r="K21" s="3" t="n">
        <v>6013094.35</v>
      </c>
      <c r="L21" s="3" t="n">
        <v>23017587.34</v>
      </c>
    </row>
    <row r="22">
      <c r="A22" t="inlineStr">
        <is>
          <t>TÜMÜ</t>
        </is>
      </c>
      <c r="B22" t="inlineStr">
        <is>
          <t>2026-01</t>
        </is>
      </c>
      <c r="C22" t="inlineStr">
        <is>
          <t>Kampanyasiz</t>
        </is>
      </c>
      <c r="D22" s="2" t="n">
        <v>39075</v>
      </c>
      <c r="E22" s="3" t="n">
        <v>409.59</v>
      </c>
      <c r="F22" s="3" t="n">
        <v>0</v>
      </c>
      <c r="G22" s="3" t="n">
        <v>409.59</v>
      </c>
      <c r="H22" s="4" t="n">
        <v>2.3</v>
      </c>
      <c r="I22" s="4" t="n">
        <v>0</v>
      </c>
      <c r="J22" s="3" t="n">
        <v>16004580.41</v>
      </c>
      <c r="K22" s="3" t="n">
        <v>0</v>
      </c>
      <c r="L22" s="3" t="n">
        <v>16004580.41</v>
      </c>
    </row>
    <row r="23">
      <c r="A23" t="inlineStr">
        <is>
          <t>TÜMÜ</t>
        </is>
      </c>
      <c r="B23" t="inlineStr">
        <is>
          <t>2026-02</t>
        </is>
      </c>
      <c r="C23" t="inlineStr">
        <is>
          <t>3Al2Ode</t>
        </is>
      </c>
      <c r="D23" s="2" t="n">
        <v>20602</v>
      </c>
      <c r="E23" s="3" t="n">
        <v>1577.8</v>
      </c>
      <c r="F23" s="3" t="n">
        <v>380.45</v>
      </c>
      <c r="G23" s="3" t="n">
        <v>1197.34</v>
      </c>
      <c r="H23" s="4" t="n">
        <v>7</v>
      </c>
      <c r="I23" s="4" t="n">
        <v>24.1</v>
      </c>
      <c r="J23" s="3" t="n">
        <v>32505734.74</v>
      </c>
      <c r="K23" s="3" t="n">
        <v>7838083.51</v>
      </c>
      <c r="L23" s="3" t="n">
        <v>24667651.23</v>
      </c>
    </row>
    <row r="24">
      <c r="A24" t="inlineStr">
        <is>
          <t>TÜMÜ</t>
        </is>
      </c>
      <c r="B24" t="inlineStr">
        <is>
          <t>2026-02</t>
        </is>
      </c>
      <c r="C24" t="inlineStr">
        <is>
          <t>DigerKampanya</t>
        </is>
      </c>
      <c r="D24" s="2" t="n">
        <v>36909</v>
      </c>
      <c r="E24" s="3" t="n">
        <v>694.2</v>
      </c>
      <c r="F24" s="3" t="n">
        <v>146.15</v>
      </c>
      <c r="G24" s="3" t="n">
        <v>548.05</v>
      </c>
      <c r="H24" s="4" t="n">
        <v>4.3</v>
      </c>
      <c r="I24" s="4" t="n">
        <v>21.1</v>
      </c>
      <c r="J24" s="3" t="n">
        <v>25622218.5</v>
      </c>
      <c r="K24" s="3" t="n">
        <v>5394406.53</v>
      </c>
      <c r="L24" s="3" t="n">
        <v>20227811.97</v>
      </c>
    </row>
    <row r="25">
      <c r="A25" t="inlineStr">
        <is>
          <t>TÜMÜ</t>
        </is>
      </c>
      <c r="B25" t="inlineStr">
        <is>
          <t>2026-02</t>
        </is>
      </c>
      <c r="C25" t="inlineStr">
        <is>
          <t>Kampanyasiz</t>
        </is>
      </c>
      <c r="D25" s="2" t="n">
        <v>33700</v>
      </c>
      <c r="E25" s="3" t="n">
        <v>432.59</v>
      </c>
      <c r="F25" s="3" t="n">
        <v>0</v>
      </c>
      <c r="G25" s="3" t="n">
        <v>432.59</v>
      </c>
      <c r="H25" s="4" t="n">
        <v>2.4</v>
      </c>
      <c r="I25" s="4" t="n">
        <v>0</v>
      </c>
      <c r="J25" s="3" t="n">
        <v>14578265.74</v>
      </c>
      <c r="K25" s="3" t="n">
        <v>0</v>
      </c>
      <c r="L25" s="3" t="n">
        <v>14578265.74</v>
      </c>
    </row>
    <row r="26">
      <c r="A26" t="inlineStr">
        <is>
          <t>TÜMÜ</t>
        </is>
      </c>
      <c r="B26" t="inlineStr">
        <is>
          <t>2026-03</t>
        </is>
      </c>
      <c r="C26" t="inlineStr">
        <is>
          <t>3Al2Ode</t>
        </is>
      </c>
      <c r="D26" s="2" t="n">
        <v>20958</v>
      </c>
      <c r="E26" s="3" t="n">
        <v>1613.42</v>
      </c>
      <c r="F26" s="3" t="n">
        <v>393.21</v>
      </c>
      <c r="G26" s="3" t="n">
        <v>1220.21</v>
      </c>
      <c r="H26" s="4" t="n">
        <v>7.1</v>
      </c>
      <c r="I26" s="4" t="n">
        <v>24.4</v>
      </c>
      <c r="J26" s="3" t="n">
        <v>33814100.83</v>
      </c>
      <c r="K26" s="3" t="n">
        <v>8240944.59</v>
      </c>
      <c r="L26" s="3" t="n">
        <v>25573156.24</v>
      </c>
    </row>
    <row r="27">
      <c r="A27" t="inlineStr">
        <is>
          <t>TÜMÜ</t>
        </is>
      </c>
      <c r="B27" t="inlineStr">
        <is>
          <t>2026-03</t>
        </is>
      </c>
      <c r="C27" t="inlineStr">
        <is>
          <t>DigerKampanya</t>
        </is>
      </c>
      <c r="D27" s="2" t="n">
        <v>41089</v>
      </c>
      <c r="E27" s="3" t="n">
        <v>692.83</v>
      </c>
      <c r="F27" s="3" t="n">
        <v>146.87</v>
      </c>
      <c r="G27" s="3" t="n">
        <v>545.95</v>
      </c>
      <c r="H27" s="4" t="n">
        <v>4.4</v>
      </c>
      <c r="I27" s="4" t="n">
        <v>21.2</v>
      </c>
      <c r="J27" s="3" t="n">
        <v>28467587.44</v>
      </c>
      <c r="K27" s="3" t="n">
        <v>6034844.41</v>
      </c>
      <c r="L27" s="3" t="n">
        <v>22432743.03</v>
      </c>
    </row>
    <row r="28">
      <c r="A28" t="inlineStr">
        <is>
          <t>TÜMÜ</t>
        </is>
      </c>
      <c r="B28" t="inlineStr">
        <is>
          <t>2026-03</t>
        </is>
      </c>
      <c r="C28" t="inlineStr">
        <is>
          <t>Kampanyasiz</t>
        </is>
      </c>
      <c r="D28" s="2" t="n">
        <v>32812</v>
      </c>
      <c r="E28" s="3" t="n">
        <v>439.46</v>
      </c>
      <c r="F28" s="3" t="n">
        <v>0</v>
      </c>
      <c r="G28" s="3" t="n">
        <v>439.46</v>
      </c>
      <c r="H28" s="4" t="n">
        <v>2.3</v>
      </c>
      <c r="I28" s="4" t="n">
        <v>0</v>
      </c>
      <c r="J28" s="3" t="n">
        <v>14419463.48</v>
      </c>
      <c r="K28" s="3" t="n">
        <v>0</v>
      </c>
      <c r="L28" s="3" t="n">
        <v>14419463.48</v>
      </c>
    </row>
    <row r="29">
      <c r="A29" t="inlineStr">
        <is>
          <t>TÜMÜ</t>
        </is>
      </c>
      <c r="B29" t="inlineStr">
        <is>
          <t>2026-04</t>
        </is>
      </c>
      <c r="C29" t="inlineStr">
        <is>
          <t>3Al2Ode</t>
        </is>
      </c>
      <c r="D29" s="2" t="n">
        <v>8488</v>
      </c>
      <c r="E29" s="3" t="n">
        <v>1597.37</v>
      </c>
      <c r="F29" s="3" t="n">
        <v>388.38</v>
      </c>
      <c r="G29" s="3" t="n">
        <v>1208.99</v>
      </c>
      <c r="H29" s="4" t="n">
        <v>7.1</v>
      </c>
      <c r="I29" s="4" t="n">
        <v>24.3</v>
      </c>
      <c r="J29" s="3" t="n">
        <v>13558517.4</v>
      </c>
      <c r="K29" s="3" t="n">
        <v>3296591.17</v>
      </c>
      <c r="L29" s="3" t="n">
        <v>10261926.23</v>
      </c>
    </row>
    <row r="30">
      <c r="A30" t="inlineStr">
        <is>
          <t>TÜMÜ</t>
        </is>
      </c>
      <c r="B30" t="inlineStr">
        <is>
          <t>2026-04</t>
        </is>
      </c>
      <c r="C30" t="inlineStr">
        <is>
          <t>DigerKampanya</t>
        </is>
      </c>
      <c r="D30" s="2" t="n">
        <v>18098</v>
      </c>
      <c r="E30" s="3" t="n">
        <v>680.11</v>
      </c>
      <c r="F30" s="3" t="n">
        <v>144.92</v>
      </c>
      <c r="G30" s="3" t="n">
        <v>535.1900000000001</v>
      </c>
      <c r="H30" s="4" t="n">
        <v>4.4</v>
      </c>
      <c r="I30" s="4" t="n">
        <v>21.3</v>
      </c>
      <c r="J30" s="3" t="n">
        <v>12308657.18</v>
      </c>
      <c r="K30" s="3" t="n">
        <v>2622799.32</v>
      </c>
      <c r="L30" s="3" t="n">
        <v>9685857.859999999</v>
      </c>
    </row>
    <row r="31">
      <c r="A31" t="inlineStr">
        <is>
          <t>TÜMÜ</t>
        </is>
      </c>
      <c r="B31" t="inlineStr">
        <is>
          <t>2026-04</t>
        </is>
      </c>
      <c r="C31" t="inlineStr">
        <is>
          <t>Kampanyasiz</t>
        </is>
      </c>
      <c r="D31" s="2" t="n">
        <v>14257</v>
      </c>
      <c r="E31" s="3" t="n">
        <v>427.88</v>
      </c>
      <c r="F31" s="3" t="n">
        <v>0</v>
      </c>
      <c r="G31" s="3" t="n">
        <v>427.88</v>
      </c>
      <c r="H31" s="4" t="n">
        <v>2.3</v>
      </c>
      <c r="I31" s="4" t="n">
        <v>0</v>
      </c>
      <c r="J31" s="3" t="n">
        <v>6100347.68</v>
      </c>
      <c r="K31" s="3" t="n">
        <v>0</v>
      </c>
      <c r="L31" s="3" t="n">
        <v>6100347.68</v>
      </c>
    </row>
    <row r="32">
      <c r="A32" t="inlineStr">
        <is>
          <t>FSM Mağaza</t>
        </is>
      </c>
      <c r="B32" t="inlineStr">
        <is>
          <t>2025-07</t>
        </is>
      </c>
      <c r="C32" t="inlineStr">
        <is>
          <t>3Al2Ode</t>
        </is>
      </c>
      <c r="D32" s="2" t="n">
        <v>1053</v>
      </c>
      <c r="E32" s="3" t="n">
        <v>1281.66</v>
      </c>
      <c r="F32" s="3" t="n">
        <v>318.37</v>
      </c>
      <c r="G32" s="3" t="n">
        <v>963.29</v>
      </c>
      <c r="H32" s="4" t="n">
        <v>6.3</v>
      </c>
      <c r="I32" s="4" t="n">
        <v>24.8</v>
      </c>
      <c r="J32" s="3" t="n">
        <v>1349589.55</v>
      </c>
      <c r="K32" s="3" t="n">
        <v>335245.91</v>
      </c>
      <c r="L32" s="3" t="n">
        <v>1014343.64</v>
      </c>
    </row>
    <row r="33">
      <c r="A33" t="inlineStr">
        <is>
          <t>FSM Mağaza</t>
        </is>
      </c>
      <c r="B33" t="inlineStr">
        <is>
          <t>2025-07</t>
        </is>
      </c>
      <c r="C33" t="inlineStr">
        <is>
          <t>DigerKampanya</t>
        </is>
      </c>
      <c r="D33" s="2" t="n">
        <v>1889</v>
      </c>
      <c r="E33" s="3" t="n">
        <v>489.76</v>
      </c>
      <c r="F33" s="3" t="n">
        <v>115.11</v>
      </c>
      <c r="G33" s="3" t="n">
        <v>374.66</v>
      </c>
      <c r="H33" s="4" t="n">
        <v>3.3</v>
      </c>
      <c r="I33" s="4" t="n">
        <v>23.5</v>
      </c>
      <c r="J33" s="3" t="n">
        <v>925160.42</v>
      </c>
      <c r="K33" s="3" t="n">
        <v>217435.66</v>
      </c>
      <c r="L33" s="3" t="n">
        <v>707724.76</v>
      </c>
    </row>
    <row r="34">
      <c r="A34" t="inlineStr">
        <is>
          <t>FSM Mağaza</t>
        </is>
      </c>
      <c r="B34" t="inlineStr">
        <is>
          <t>2025-07</t>
        </is>
      </c>
      <c r="C34" t="inlineStr">
        <is>
          <t>Kampanyasiz</t>
        </is>
      </c>
      <c r="D34" s="2" t="n">
        <v>2401</v>
      </c>
      <c r="E34" s="3" t="n">
        <v>299.67</v>
      </c>
      <c r="F34" s="3" t="n">
        <v>0</v>
      </c>
      <c r="G34" s="3" t="n">
        <v>299.67</v>
      </c>
      <c r="H34" s="4" t="n">
        <v>2</v>
      </c>
      <c r="I34" s="4" t="n">
        <v>0</v>
      </c>
      <c r="J34" s="3" t="n">
        <v>719509.48</v>
      </c>
      <c r="K34" s="3" t="n">
        <v>0</v>
      </c>
      <c r="L34" s="3" t="n">
        <v>719509.48</v>
      </c>
    </row>
    <row r="35">
      <c r="A35" t="inlineStr">
        <is>
          <t>FSM Mağaza</t>
        </is>
      </c>
      <c r="B35" t="inlineStr">
        <is>
          <t>2025-08</t>
        </is>
      </c>
      <c r="C35" t="inlineStr">
        <is>
          <t>3Al2Ode</t>
        </is>
      </c>
      <c r="D35" s="2" t="n">
        <v>4720</v>
      </c>
      <c r="E35" s="3" t="n">
        <v>1482.22</v>
      </c>
      <c r="F35" s="3" t="n">
        <v>359.31</v>
      </c>
      <c r="G35" s="3" t="n">
        <v>1122.91</v>
      </c>
      <c r="H35" s="4" t="n">
        <v>7.1</v>
      </c>
      <c r="I35" s="4" t="n">
        <v>24.2</v>
      </c>
      <c r="J35" s="3" t="n">
        <v>6996079.19</v>
      </c>
      <c r="K35" s="3" t="n">
        <v>1695954.57</v>
      </c>
      <c r="L35" s="3" t="n">
        <v>5300124.62</v>
      </c>
    </row>
    <row r="36">
      <c r="A36" t="inlineStr">
        <is>
          <t>FSM Mağaza</t>
        </is>
      </c>
      <c r="B36" t="inlineStr">
        <is>
          <t>2025-08</t>
        </is>
      </c>
      <c r="C36" t="inlineStr">
        <is>
          <t>DigerKampanya</t>
        </is>
      </c>
      <c r="D36" s="2" t="n">
        <v>8226</v>
      </c>
      <c r="E36" s="3" t="n">
        <v>714.51</v>
      </c>
      <c r="F36" s="3" t="n">
        <v>139.64</v>
      </c>
      <c r="G36" s="3" t="n">
        <v>574.87</v>
      </c>
      <c r="H36" s="4" t="n">
        <v>4.5</v>
      </c>
      <c r="I36" s="4" t="n">
        <v>19.5</v>
      </c>
      <c r="J36" s="3" t="n">
        <v>5877574.53</v>
      </c>
      <c r="K36" s="3" t="n">
        <v>1148671.63</v>
      </c>
      <c r="L36" s="3" t="n">
        <v>4728902.9</v>
      </c>
    </row>
    <row r="37">
      <c r="A37" t="inlineStr">
        <is>
          <t>FSM Mağaza</t>
        </is>
      </c>
      <c r="B37" t="inlineStr">
        <is>
          <t>2025-08</t>
        </is>
      </c>
      <c r="C37" t="inlineStr">
        <is>
          <t>Kampanyasiz</t>
        </is>
      </c>
      <c r="D37" s="2" t="n">
        <v>9914</v>
      </c>
      <c r="E37" s="3" t="n">
        <v>313.71</v>
      </c>
      <c r="F37" s="3" t="n">
        <v>0</v>
      </c>
      <c r="G37" s="3" t="n">
        <v>313.71</v>
      </c>
      <c r="H37" s="4" t="n">
        <v>2.2</v>
      </c>
      <c r="I37" s="4" t="n">
        <v>0</v>
      </c>
      <c r="J37" s="3" t="n">
        <v>3110092.15</v>
      </c>
      <c r="K37" s="3" t="n">
        <v>0</v>
      </c>
      <c r="L37" s="3" t="n">
        <v>3110092.15</v>
      </c>
    </row>
    <row r="38">
      <c r="A38" t="inlineStr">
        <is>
          <t>FSM Mağaza</t>
        </is>
      </c>
      <c r="B38" t="inlineStr">
        <is>
          <t>2025-09</t>
        </is>
      </c>
      <c r="C38" t="inlineStr">
        <is>
          <t>3Al2Ode</t>
        </is>
      </c>
      <c r="D38" s="2" t="n">
        <v>11596</v>
      </c>
      <c r="E38" s="3" t="n">
        <v>1792.83</v>
      </c>
      <c r="F38" s="3" t="n">
        <v>412.76</v>
      </c>
      <c r="G38" s="3" t="n">
        <v>1380.07</v>
      </c>
      <c r="H38" s="4" t="n">
        <v>7.7</v>
      </c>
      <c r="I38" s="4" t="n">
        <v>23</v>
      </c>
      <c r="J38" s="3" t="n">
        <v>20789649.05</v>
      </c>
      <c r="K38" s="3" t="n">
        <v>4786372.9</v>
      </c>
      <c r="L38" s="3" t="n">
        <v>16003276.15</v>
      </c>
    </row>
    <row r="39">
      <c r="A39" t="inlineStr">
        <is>
          <t>FSM Mağaza</t>
        </is>
      </c>
      <c r="B39" t="inlineStr">
        <is>
          <t>2025-09</t>
        </is>
      </c>
      <c r="C39" t="inlineStr">
        <is>
          <t>DigerKampanya</t>
        </is>
      </c>
      <c r="D39" s="2" t="n">
        <v>14880</v>
      </c>
      <c r="E39" s="3" t="n">
        <v>1003.91</v>
      </c>
      <c r="F39" s="3" t="n">
        <v>169.71</v>
      </c>
      <c r="G39" s="3" t="n">
        <v>834.1900000000001</v>
      </c>
      <c r="H39" s="4" t="n">
        <v>6.4</v>
      </c>
      <c r="I39" s="4" t="n">
        <v>16.9</v>
      </c>
      <c r="J39" s="3" t="n">
        <v>14938152.7</v>
      </c>
      <c r="K39" s="3" t="n">
        <v>2525339.59</v>
      </c>
      <c r="L39" s="3" t="n">
        <v>12412813.11</v>
      </c>
    </row>
    <row r="40">
      <c r="A40" t="inlineStr">
        <is>
          <t>FSM Mağaza</t>
        </is>
      </c>
      <c r="B40" t="inlineStr">
        <is>
          <t>2025-09</t>
        </is>
      </c>
      <c r="C40" t="inlineStr">
        <is>
          <t>Kampanyasiz</t>
        </is>
      </c>
      <c r="D40" s="2" t="n">
        <v>16512</v>
      </c>
      <c r="E40" s="3" t="n">
        <v>480.65</v>
      </c>
      <c r="F40" s="3" t="n">
        <v>0</v>
      </c>
      <c r="G40" s="3" t="n">
        <v>480.65</v>
      </c>
      <c r="H40" s="4" t="n">
        <v>2.6</v>
      </c>
      <c r="I40" s="4" t="n">
        <v>0</v>
      </c>
      <c r="J40" s="3" t="n">
        <v>7936414.57</v>
      </c>
      <c r="K40" s="3" t="n">
        <v>0</v>
      </c>
      <c r="L40" s="3" t="n">
        <v>7936414.57</v>
      </c>
    </row>
    <row r="41">
      <c r="A41" t="inlineStr">
        <is>
          <t>FSM Mağaza</t>
        </is>
      </c>
      <c r="B41" t="inlineStr">
        <is>
          <t>2025-10</t>
        </is>
      </c>
      <c r="C41" t="inlineStr">
        <is>
          <t>3Al2Ode</t>
        </is>
      </c>
      <c r="D41" s="2" t="n">
        <v>8845</v>
      </c>
      <c r="E41" s="3" t="n">
        <v>1514.19</v>
      </c>
      <c r="F41" s="3" t="n">
        <v>368.48</v>
      </c>
      <c r="G41" s="3" t="n">
        <v>1145.71</v>
      </c>
      <c r="H41" s="4" t="n">
        <v>6.9</v>
      </c>
      <c r="I41" s="4" t="n">
        <v>24.3</v>
      </c>
      <c r="J41" s="3" t="n">
        <v>13393041.58</v>
      </c>
      <c r="K41" s="3" t="n">
        <v>3259201.96</v>
      </c>
      <c r="L41" s="3" t="n">
        <v>10133839.62</v>
      </c>
    </row>
    <row r="42">
      <c r="A42" t="inlineStr">
        <is>
          <t>FSM Mağaza</t>
        </is>
      </c>
      <c r="B42" t="inlineStr">
        <is>
          <t>2025-10</t>
        </is>
      </c>
      <c r="C42" t="inlineStr">
        <is>
          <t>DigerKampanya</t>
        </is>
      </c>
      <c r="D42" s="2" t="n">
        <v>13107</v>
      </c>
      <c r="E42" s="3" t="n">
        <v>609.3</v>
      </c>
      <c r="F42" s="3" t="n">
        <v>115.43</v>
      </c>
      <c r="G42" s="3" t="n">
        <v>493.86</v>
      </c>
      <c r="H42" s="4" t="n">
        <v>4.1</v>
      </c>
      <c r="I42" s="4" t="n">
        <v>18.9</v>
      </c>
      <c r="J42" s="3" t="n">
        <v>7986033.14</v>
      </c>
      <c r="K42" s="3" t="n">
        <v>1512949.17</v>
      </c>
      <c r="L42" s="3" t="n">
        <v>6473083.97</v>
      </c>
    </row>
    <row r="43">
      <c r="A43" t="inlineStr">
        <is>
          <t>FSM Mağaza</t>
        </is>
      </c>
      <c r="B43" t="inlineStr">
        <is>
          <t>2025-10</t>
        </is>
      </c>
      <c r="C43" t="inlineStr">
        <is>
          <t>Kampanyasiz</t>
        </is>
      </c>
      <c r="D43" s="2" t="n">
        <v>15508</v>
      </c>
      <c r="E43" s="3" t="n">
        <v>379.35</v>
      </c>
      <c r="F43" s="3" t="n">
        <v>0</v>
      </c>
      <c r="G43" s="3" t="n">
        <v>379.35</v>
      </c>
      <c r="H43" s="4" t="n">
        <v>2.2</v>
      </c>
      <c r="I43" s="4" t="n">
        <v>0</v>
      </c>
      <c r="J43" s="3" t="n">
        <v>5882971.68</v>
      </c>
      <c r="K43" s="3" t="n">
        <v>0</v>
      </c>
      <c r="L43" s="3" t="n">
        <v>5882971.68</v>
      </c>
    </row>
    <row r="44">
      <c r="A44" t="inlineStr">
        <is>
          <t>FSM Mağaza</t>
        </is>
      </c>
      <c r="B44" t="inlineStr">
        <is>
          <t>2025-11</t>
        </is>
      </c>
      <c r="C44" t="inlineStr">
        <is>
          <t>3Al2Ode</t>
        </is>
      </c>
      <c r="D44" s="2" t="n">
        <v>6751</v>
      </c>
      <c r="E44" s="3" t="n">
        <v>1388.82</v>
      </c>
      <c r="F44" s="3" t="n">
        <v>342.88</v>
      </c>
      <c r="G44" s="3" t="n">
        <v>1045.94</v>
      </c>
      <c r="H44" s="4" t="n">
        <v>6.5</v>
      </c>
      <c r="I44" s="4" t="n">
        <v>24.7</v>
      </c>
      <c r="J44" s="3" t="n">
        <v>9375907.4</v>
      </c>
      <c r="K44" s="3" t="n">
        <v>2314795.55</v>
      </c>
      <c r="L44" s="3" t="n">
        <v>7061111.85</v>
      </c>
    </row>
    <row r="45">
      <c r="A45" t="inlineStr">
        <is>
          <t>FSM Mağaza</t>
        </is>
      </c>
      <c r="B45" t="inlineStr">
        <is>
          <t>2025-11</t>
        </is>
      </c>
      <c r="C45" t="inlineStr">
        <is>
          <t>DigerKampanya</t>
        </is>
      </c>
      <c r="D45" s="2" t="n">
        <v>12286</v>
      </c>
      <c r="E45" s="3" t="n">
        <v>565.66</v>
      </c>
      <c r="F45" s="3" t="n">
        <v>116.92</v>
      </c>
      <c r="G45" s="3" t="n">
        <v>448.73</v>
      </c>
      <c r="H45" s="4" t="n">
        <v>4</v>
      </c>
      <c r="I45" s="4" t="n">
        <v>20.7</v>
      </c>
      <c r="J45" s="3" t="n">
        <v>6949665.35</v>
      </c>
      <c r="K45" s="3" t="n">
        <v>1436519.75</v>
      </c>
      <c r="L45" s="3" t="n">
        <v>5513145.6</v>
      </c>
    </row>
    <row r="46">
      <c r="A46" t="inlineStr">
        <is>
          <t>FSM Mağaza</t>
        </is>
      </c>
      <c r="B46" t="inlineStr">
        <is>
          <t>2025-11</t>
        </is>
      </c>
      <c r="C46" t="inlineStr">
        <is>
          <t>Kampanyasiz</t>
        </is>
      </c>
      <c r="D46" s="2" t="n">
        <v>13881</v>
      </c>
      <c r="E46" s="3" t="n">
        <v>347.11</v>
      </c>
      <c r="F46" s="3" t="n">
        <v>0</v>
      </c>
      <c r="G46" s="3" t="n">
        <v>347.11</v>
      </c>
      <c r="H46" s="4" t="n">
        <v>2.2</v>
      </c>
      <c r="I46" s="4" t="n">
        <v>0</v>
      </c>
      <c r="J46" s="3" t="n">
        <v>4818217.9</v>
      </c>
      <c r="K46" s="3" t="n">
        <v>0</v>
      </c>
      <c r="L46" s="3" t="n">
        <v>4818217.9</v>
      </c>
    </row>
    <row r="47">
      <c r="A47" t="inlineStr">
        <is>
          <t>FSM Mağaza</t>
        </is>
      </c>
      <c r="B47" t="inlineStr">
        <is>
          <t>2025-12</t>
        </is>
      </c>
      <c r="C47" t="inlineStr">
        <is>
          <t>3Al2Ode</t>
        </is>
      </c>
      <c r="D47" s="2" t="n">
        <v>6618</v>
      </c>
      <c r="E47" s="3" t="n">
        <v>1417.13</v>
      </c>
      <c r="F47" s="3" t="n">
        <v>348.54</v>
      </c>
      <c r="G47" s="3" t="n">
        <v>1068.59</v>
      </c>
      <c r="H47" s="4" t="n">
        <v>6.3</v>
      </c>
      <c r="I47" s="4" t="n">
        <v>24.6</v>
      </c>
      <c r="J47" s="3" t="n">
        <v>9378582.18</v>
      </c>
      <c r="K47" s="3" t="n">
        <v>2306662.27</v>
      </c>
      <c r="L47" s="3" t="n">
        <v>7071919.91</v>
      </c>
    </row>
    <row r="48">
      <c r="A48" t="inlineStr">
        <is>
          <t>FSM Mağaza</t>
        </is>
      </c>
      <c r="B48" t="inlineStr">
        <is>
          <t>2025-12</t>
        </is>
      </c>
      <c r="C48" t="inlineStr">
        <is>
          <t>DigerKampanya</t>
        </is>
      </c>
      <c r="D48" s="2" t="n">
        <v>13633</v>
      </c>
      <c r="E48" s="3" t="n">
        <v>649.1900000000001</v>
      </c>
      <c r="F48" s="3" t="n">
        <v>145.76</v>
      </c>
      <c r="G48" s="3" t="n">
        <v>503.43</v>
      </c>
      <c r="H48" s="4" t="n">
        <v>3.9</v>
      </c>
      <c r="I48" s="4" t="n">
        <v>22.5</v>
      </c>
      <c r="J48" s="3" t="n">
        <v>8850460.01</v>
      </c>
      <c r="K48" s="3" t="n">
        <v>1987211.2</v>
      </c>
      <c r="L48" s="3" t="n">
        <v>6863248.81</v>
      </c>
    </row>
    <row r="49">
      <c r="A49" t="inlineStr">
        <is>
          <t>FSM Mağaza</t>
        </is>
      </c>
      <c r="B49" t="inlineStr">
        <is>
          <t>2025-12</t>
        </is>
      </c>
      <c r="C49" t="inlineStr">
        <is>
          <t>Kampanyasiz</t>
        </is>
      </c>
      <c r="D49" s="2" t="n">
        <v>15172</v>
      </c>
      <c r="E49" s="3" t="n">
        <v>353.96</v>
      </c>
      <c r="F49" s="3" t="n">
        <v>0</v>
      </c>
      <c r="G49" s="3" t="n">
        <v>353.96</v>
      </c>
      <c r="H49" s="4" t="n">
        <v>2.2</v>
      </c>
      <c r="I49" s="4" t="n">
        <v>0</v>
      </c>
      <c r="J49" s="3" t="n">
        <v>5370309.37</v>
      </c>
      <c r="K49" s="3" t="n">
        <v>0</v>
      </c>
      <c r="L49" s="3" t="n">
        <v>5370309.37</v>
      </c>
    </row>
    <row r="50">
      <c r="A50" t="inlineStr">
        <is>
          <t>FSM Mağaza</t>
        </is>
      </c>
      <c r="B50" t="inlineStr">
        <is>
          <t>2026-01</t>
        </is>
      </c>
      <c r="C50" t="inlineStr">
        <is>
          <t>3Al2Ode</t>
        </is>
      </c>
      <c r="D50" s="2" t="n">
        <v>7596</v>
      </c>
      <c r="E50" s="3" t="n">
        <v>1437.21</v>
      </c>
      <c r="F50" s="3" t="n">
        <v>352.97</v>
      </c>
      <c r="G50" s="3" t="n">
        <v>1084.24</v>
      </c>
      <c r="H50" s="4" t="n">
        <v>6.7</v>
      </c>
      <c r="I50" s="4" t="n">
        <v>24.6</v>
      </c>
      <c r="J50" s="3" t="n">
        <v>10917017.11</v>
      </c>
      <c r="K50" s="3" t="n">
        <v>2681148.56</v>
      </c>
      <c r="L50" s="3" t="n">
        <v>8235868.55</v>
      </c>
    </row>
    <row r="51">
      <c r="A51" t="inlineStr">
        <is>
          <t>FSM Mağaza</t>
        </is>
      </c>
      <c r="B51" t="inlineStr">
        <is>
          <t>2026-01</t>
        </is>
      </c>
      <c r="C51" t="inlineStr">
        <is>
          <t>DigerKampanya</t>
        </is>
      </c>
      <c r="D51" s="2" t="n">
        <v>14516</v>
      </c>
      <c r="E51" s="3" t="n">
        <v>624.16</v>
      </c>
      <c r="F51" s="3" t="n">
        <v>141.93</v>
      </c>
      <c r="G51" s="3" t="n">
        <v>482.23</v>
      </c>
      <c r="H51" s="4" t="n">
        <v>3.9</v>
      </c>
      <c r="I51" s="4" t="n">
        <v>22.7</v>
      </c>
      <c r="J51" s="3" t="n">
        <v>9060270.77</v>
      </c>
      <c r="K51" s="3" t="n">
        <v>2060208.79</v>
      </c>
      <c r="L51" s="3" t="n">
        <v>7000061.98</v>
      </c>
    </row>
    <row r="52">
      <c r="A52" t="inlineStr">
        <is>
          <t>FSM Mağaza</t>
        </is>
      </c>
      <c r="B52" t="inlineStr">
        <is>
          <t>2026-01</t>
        </is>
      </c>
      <c r="C52" t="inlineStr">
        <is>
          <t>Kampanyasiz</t>
        </is>
      </c>
      <c r="D52" s="2" t="n">
        <v>14022</v>
      </c>
      <c r="E52" s="3" t="n">
        <v>345.64</v>
      </c>
      <c r="F52" s="3" t="n">
        <v>0</v>
      </c>
      <c r="G52" s="3" t="n">
        <v>345.64</v>
      </c>
      <c r="H52" s="4" t="n">
        <v>2.1</v>
      </c>
      <c r="I52" s="4" t="n">
        <v>0</v>
      </c>
      <c r="J52" s="3" t="n">
        <v>4846576.89</v>
      </c>
      <c r="K52" s="3" t="n">
        <v>0</v>
      </c>
      <c r="L52" s="3" t="n">
        <v>4846576.89</v>
      </c>
    </row>
    <row r="53">
      <c r="A53" t="inlineStr">
        <is>
          <t>FSM Mağaza</t>
        </is>
      </c>
      <c r="B53" t="inlineStr">
        <is>
          <t>2026-02</t>
        </is>
      </c>
      <c r="C53" t="inlineStr">
        <is>
          <t>3Al2Ode</t>
        </is>
      </c>
      <c r="D53" s="2" t="n">
        <v>6483</v>
      </c>
      <c r="E53" s="3" t="n">
        <v>1479.68</v>
      </c>
      <c r="F53" s="3" t="n">
        <v>362.96</v>
      </c>
      <c r="G53" s="3" t="n">
        <v>1116.73</v>
      </c>
      <c r="H53" s="4" t="n">
        <v>6.5</v>
      </c>
      <c r="I53" s="4" t="n">
        <v>24.5</v>
      </c>
      <c r="J53" s="3" t="n">
        <v>9592782.310000001</v>
      </c>
      <c r="K53" s="3" t="n">
        <v>2353047.9</v>
      </c>
      <c r="L53" s="3" t="n">
        <v>7239734.41</v>
      </c>
    </row>
    <row r="54">
      <c r="A54" t="inlineStr">
        <is>
          <t>FSM Mağaza</t>
        </is>
      </c>
      <c r="B54" t="inlineStr">
        <is>
          <t>2026-02</t>
        </is>
      </c>
      <c r="C54" t="inlineStr">
        <is>
          <t>DigerKampanya</t>
        </is>
      </c>
      <c r="D54" s="2" t="n">
        <v>13632</v>
      </c>
      <c r="E54" s="3" t="n">
        <v>637.29</v>
      </c>
      <c r="F54" s="3" t="n">
        <v>147.67</v>
      </c>
      <c r="G54" s="3" t="n">
        <v>489.62</v>
      </c>
      <c r="H54" s="4" t="n">
        <v>3.9</v>
      </c>
      <c r="I54" s="4" t="n">
        <v>23.2</v>
      </c>
      <c r="J54" s="3" t="n">
        <v>8687559.390000001</v>
      </c>
      <c r="K54" s="3" t="n">
        <v>2013078.12</v>
      </c>
      <c r="L54" s="3" t="n">
        <v>6674481.27</v>
      </c>
    </row>
    <row r="55">
      <c r="A55" t="inlineStr">
        <is>
          <t>FSM Mağaza</t>
        </is>
      </c>
      <c r="B55" t="inlineStr">
        <is>
          <t>2026-02</t>
        </is>
      </c>
      <c r="C55" t="inlineStr">
        <is>
          <t>Kampanyasiz</t>
        </is>
      </c>
      <c r="D55" s="2" t="n">
        <v>12799</v>
      </c>
      <c r="E55" s="3" t="n">
        <v>366.01</v>
      </c>
      <c r="F55" s="3" t="n">
        <v>0</v>
      </c>
      <c r="G55" s="3" t="n">
        <v>366.01</v>
      </c>
      <c r="H55" s="4" t="n">
        <v>2.1</v>
      </c>
      <c r="I55" s="4" t="n">
        <v>0</v>
      </c>
      <c r="J55" s="3" t="n">
        <v>4684563.88</v>
      </c>
      <c r="K55" s="3" t="n">
        <v>0</v>
      </c>
      <c r="L55" s="3" t="n">
        <v>4684563.88</v>
      </c>
    </row>
    <row r="56">
      <c r="A56" t="inlineStr">
        <is>
          <t>FSM Mağaza</t>
        </is>
      </c>
      <c r="B56" t="inlineStr">
        <is>
          <t>2026-03</t>
        </is>
      </c>
      <c r="C56" t="inlineStr">
        <is>
          <t>3Al2Ode</t>
        </is>
      </c>
      <c r="D56" s="2" t="n">
        <v>6298</v>
      </c>
      <c r="E56" s="3" t="n">
        <v>1476.38</v>
      </c>
      <c r="F56" s="3" t="n">
        <v>371.17</v>
      </c>
      <c r="G56" s="3" t="n">
        <v>1105.21</v>
      </c>
      <c r="H56" s="4" t="n">
        <v>6.4</v>
      </c>
      <c r="I56" s="4" t="n">
        <v>25.1</v>
      </c>
      <c r="J56" s="3" t="n">
        <v>9298266.76</v>
      </c>
      <c r="K56" s="3" t="n">
        <v>2337628.99</v>
      </c>
      <c r="L56" s="3" t="n">
        <v>6960637.77</v>
      </c>
    </row>
    <row r="57">
      <c r="A57" t="inlineStr">
        <is>
          <t>FSM Mağaza</t>
        </is>
      </c>
      <c r="B57" t="inlineStr">
        <is>
          <t>2026-03</t>
        </is>
      </c>
      <c r="C57" t="inlineStr">
        <is>
          <t>DigerKampanya</t>
        </is>
      </c>
      <c r="D57" s="2" t="n">
        <v>14640</v>
      </c>
      <c r="E57" s="3" t="n">
        <v>623.17</v>
      </c>
      <c r="F57" s="3" t="n">
        <v>144.89</v>
      </c>
      <c r="G57" s="3" t="n">
        <v>478.28</v>
      </c>
      <c r="H57" s="4" t="n">
        <v>4</v>
      </c>
      <c r="I57" s="4" t="n">
        <v>23.3</v>
      </c>
      <c r="J57" s="3" t="n">
        <v>9123175.029999999</v>
      </c>
      <c r="K57" s="3" t="n">
        <v>2121204.14</v>
      </c>
      <c r="L57" s="3" t="n">
        <v>7001970.89</v>
      </c>
    </row>
    <row r="58">
      <c r="A58" t="inlineStr">
        <is>
          <t>FSM Mağaza</t>
        </is>
      </c>
      <c r="B58" t="inlineStr">
        <is>
          <t>2026-03</t>
        </is>
      </c>
      <c r="C58" t="inlineStr">
        <is>
          <t>Kampanyasiz</t>
        </is>
      </c>
      <c r="D58" s="2" t="n">
        <v>11863</v>
      </c>
      <c r="E58" s="3" t="n">
        <v>381.39</v>
      </c>
      <c r="F58" s="3" t="n">
        <v>0</v>
      </c>
      <c r="G58" s="3" t="n">
        <v>381.39</v>
      </c>
      <c r="H58" s="4" t="n">
        <v>2.1</v>
      </c>
      <c r="I58" s="4" t="n">
        <v>0</v>
      </c>
      <c r="J58" s="3" t="n">
        <v>4524390.12</v>
      </c>
      <c r="K58" s="3" t="n">
        <v>0</v>
      </c>
      <c r="L58" s="3" t="n">
        <v>4524390.12</v>
      </c>
    </row>
    <row r="59">
      <c r="A59" t="inlineStr">
        <is>
          <t>FSM Mağaza</t>
        </is>
      </c>
      <c r="B59" t="inlineStr">
        <is>
          <t>2026-04</t>
        </is>
      </c>
      <c r="C59" t="inlineStr">
        <is>
          <t>3Al2Ode</t>
        </is>
      </c>
      <c r="D59" s="2" t="n">
        <v>2478</v>
      </c>
      <c r="E59" s="3" t="n">
        <v>1535.38</v>
      </c>
      <c r="F59" s="3" t="n">
        <v>388.19</v>
      </c>
      <c r="G59" s="3" t="n">
        <v>1147.19</v>
      </c>
      <c r="H59" s="4" t="n">
        <v>6.4</v>
      </c>
      <c r="I59" s="4" t="n">
        <v>25.3</v>
      </c>
      <c r="J59" s="3" t="n">
        <v>3804675.83</v>
      </c>
      <c r="K59" s="3" t="n">
        <v>961940.45</v>
      </c>
      <c r="L59" s="3" t="n">
        <v>2842735.38</v>
      </c>
    </row>
    <row r="60">
      <c r="A60" t="inlineStr">
        <is>
          <t>FSM Mağaza</t>
        </is>
      </c>
      <c r="B60" t="inlineStr">
        <is>
          <t>2026-04</t>
        </is>
      </c>
      <c r="C60" t="inlineStr">
        <is>
          <t>DigerKampanya</t>
        </is>
      </c>
      <c r="D60" s="2" t="n">
        <v>5854</v>
      </c>
      <c r="E60" s="3" t="n">
        <v>620.85</v>
      </c>
      <c r="F60" s="3" t="n">
        <v>143.41</v>
      </c>
      <c r="G60" s="3" t="n">
        <v>477.44</v>
      </c>
      <c r="H60" s="4" t="n">
        <v>4</v>
      </c>
      <c r="I60" s="4" t="n">
        <v>23.1</v>
      </c>
      <c r="J60" s="3" t="n">
        <v>3634457.23</v>
      </c>
      <c r="K60" s="3" t="n">
        <v>839537.23</v>
      </c>
      <c r="L60" s="3" t="n">
        <v>2794920</v>
      </c>
    </row>
    <row r="61">
      <c r="A61" t="inlineStr">
        <is>
          <t>FSM Mağaza</t>
        </is>
      </c>
      <c r="B61" t="inlineStr">
        <is>
          <t>2026-04</t>
        </is>
      </c>
      <c r="C61" t="inlineStr">
        <is>
          <t>Kampanyasiz</t>
        </is>
      </c>
      <c r="D61" s="2" t="n">
        <v>5061</v>
      </c>
      <c r="E61" s="3" t="n">
        <v>374.61</v>
      </c>
      <c r="F61" s="3" t="n">
        <v>0</v>
      </c>
      <c r="G61" s="3" t="n">
        <v>374.61</v>
      </c>
      <c r="H61" s="4" t="n">
        <v>2.1</v>
      </c>
      <c r="I61" s="4" t="n">
        <v>0</v>
      </c>
      <c r="J61" s="3" t="n">
        <v>1895879.56</v>
      </c>
      <c r="K61" s="3" t="n">
        <v>0</v>
      </c>
      <c r="L61" s="3" t="n">
        <v>1895879.56</v>
      </c>
    </row>
    <row r="62">
      <c r="A62" t="inlineStr">
        <is>
          <t>IST YOLU MGZ</t>
        </is>
      </c>
      <c r="B62" t="inlineStr">
        <is>
          <t>2025-07</t>
        </is>
      </c>
      <c r="C62" t="inlineStr">
        <is>
          <t>3Al2Ode</t>
        </is>
      </c>
      <c r="D62" s="2" t="n">
        <v>2245</v>
      </c>
      <c r="E62" s="3" t="n">
        <v>1459.39</v>
      </c>
      <c r="F62" s="3" t="n">
        <v>351.66</v>
      </c>
      <c r="G62" s="3" t="n">
        <v>1107.73</v>
      </c>
      <c r="H62" s="4" t="n">
        <v>7.6</v>
      </c>
      <c r="I62" s="4" t="n">
        <v>24.1</v>
      </c>
      <c r="J62" s="3" t="n">
        <v>3276328.76</v>
      </c>
      <c r="K62" s="3" t="n">
        <v>789478.08</v>
      </c>
      <c r="L62" s="3" t="n">
        <v>2486850.68</v>
      </c>
    </row>
    <row r="63">
      <c r="A63" t="inlineStr">
        <is>
          <t>IST YOLU MGZ</t>
        </is>
      </c>
      <c r="B63" t="inlineStr">
        <is>
          <t>2025-07</t>
        </is>
      </c>
      <c r="C63" t="inlineStr">
        <is>
          <t>DigerKampanya</t>
        </is>
      </c>
      <c r="D63" s="2" t="n">
        <v>3730</v>
      </c>
      <c r="E63" s="3" t="n">
        <v>630.9400000000001</v>
      </c>
      <c r="F63" s="3" t="n">
        <v>131.58</v>
      </c>
      <c r="G63" s="3" t="n">
        <v>499.36</v>
      </c>
      <c r="H63" s="4" t="n">
        <v>3.9</v>
      </c>
      <c r="I63" s="4" t="n">
        <v>20.9</v>
      </c>
      <c r="J63" s="3" t="n">
        <v>2353393.63</v>
      </c>
      <c r="K63" s="3" t="n">
        <v>490790.72</v>
      </c>
      <c r="L63" s="3" t="n">
        <v>1862602.91</v>
      </c>
    </row>
    <row r="64">
      <c r="A64" t="inlineStr">
        <is>
          <t>IST YOLU MGZ</t>
        </is>
      </c>
      <c r="B64" t="inlineStr">
        <is>
          <t>2025-07</t>
        </is>
      </c>
      <c r="C64" t="inlineStr">
        <is>
          <t>Kampanyasiz</t>
        </is>
      </c>
      <c r="D64" s="2" t="n">
        <v>3536</v>
      </c>
      <c r="E64" s="3" t="n">
        <v>402.24</v>
      </c>
      <c r="F64" s="3" t="n">
        <v>0</v>
      </c>
      <c r="G64" s="3" t="n">
        <v>402.24</v>
      </c>
      <c r="H64" s="4" t="n">
        <v>2.2</v>
      </c>
      <c r="I64" s="4" t="n">
        <v>0</v>
      </c>
      <c r="J64" s="3" t="n">
        <v>1422328.92</v>
      </c>
      <c r="K64" s="3" t="n">
        <v>0</v>
      </c>
      <c r="L64" s="3" t="n">
        <v>1422328.92</v>
      </c>
    </row>
    <row r="65">
      <c r="A65" t="inlineStr">
        <is>
          <t>IST YOLU MGZ</t>
        </is>
      </c>
      <c r="B65" t="inlineStr">
        <is>
          <t>2025-08</t>
        </is>
      </c>
      <c r="C65" t="inlineStr">
        <is>
          <t>3Al2Ode</t>
        </is>
      </c>
      <c r="D65" s="2" t="n">
        <v>4106</v>
      </c>
      <c r="E65" s="3" t="n">
        <v>1787.59</v>
      </c>
      <c r="F65" s="3" t="n">
        <v>396.46</v>
      </c>
      <c r="G65" s="3" t="n">
        <v>1391.13</v>
      </c>
      <c r="H65" s="4" t="n">
        <v>8.800000000000001</v>
      </c>
      <c r="I65" s="4" t="n">
        <v>22.2</v>
      </c>
      <c r="J65" s="3" t="n">
        <v>7339850.56</v>
      </c>
      <c r="K65" s="3" t="n">
        <v>1627856.92</v>
      </c>
      <c r="L65" s="3" t="n">
        <v>5711993.64</v>
      </c>
    </row>
    <row r="66">
      <c r="A66" t="inlineStr">
        <is>
          <t>IST YOLU MGZ</t>
        </is>
      </c>
      <c r="B66" t="inlineStr">
        <is>
          <t>2025-08</t>
        </is>
      </c>
      <c r="C66" t="inlineStr">
        <is>
          <t>DigerKampanya</t>
        </is>
      </c>
      <c r="D66" s="2" t="n">
        <v>6292</v>
      </c>
      <c r="E66" s="3" t="n">
        <v>1227.01</v>
      </c>
      <c r="F66" s="3" t="n">
        <v>185.26</v>
      </c>
      <c r="G66" s="3" t="n">
        <v>1041.76</v>
      </c>
      <c r="H66" s="4" t="n">
        <v>6.1</v>
      </c>
      <c r="I66" s="4" t="n">
        <v>15.1</v>
      </c>
      <c r="J66" s="3" t="n">
        <v>7720370.6</v>
      </c>
      <c r="K66" s="3" t="n">
        <v>1165638.9</v>
      </c>
      <c r="L66" s="3" t="n">
        <v>6554731.7</v>
      </c>
    </row>
    <row r="67">
      <c r="A67" t="inlineStr">
        <is>
          <t>IST YOLU MGZ</t>
        </is>
      </c>
      <c r="B67" t="inlineStr">
        <is>
          <t>2025-08</t>
        </is>
      </c>
      <c r="C67" t="inlineStr">
        <is>
          <t>Kampanyasiz</t>
        </is>
      </c>
      <c r="D67" s="2" t="n">
        <v>6570</v>
      </c>
      <c r="E67" s="3" t="n">
        <v>645.73</v>
      </c>
      <c r="F67" s="3" t="n">
        <v>0</v>
      </c>
      <c r="G67" s="3" t="n">
        <v>645.73</v>
      </c>
      <c r="H67" s="4" t="n">
        <v>2.7</v>
      </c>
      <c r="I67" s="4" t="n">
        <v>0</v>
      </c>
      <c r="J67" s="3" t="n">
        <v>4242449.78</v>
      </c>
      <c r="K67" s="3" t="n">
        <v>0</v>
      </c>
      <c r="L67" s="3" t="n">
        <v>4242449.78</v>
      </c>
    </row>
    <row r="68">
      <c r="A68" t="inlineStr">
        <is>
          <t>IST YOLU MGZ</t>
        </is>
      </c>
      <c r="B68" t="inlineStr">
        <is>
          <t>2025-09</t>
        </is>
      </c>
      <c r="C68" t="inlineStr">
        <is>
          <t>3Al2Ode</t>
        </is>
      </c>
      <c r="D68" s="2" t="n">
        <v>8448</v>
      </c>
      <c r="E68" s="3" t="n">
        <v>2078.73</v>
      </c>
      <c r="F68" s="3" t="n">
        <v>469.4</v>
      </c>
      <c r="G68" s="3" t="n">
        <v>1609.34</v>
      </c>
      <c r="H68" s="4" t="n">
        <v>9.300000000000001</v>
      </c>
      <c r="I68" s="4" t="n">
        <v>22.6</v>
      </c>
      <c r="J68" s="3" t="n">
        <v>17561129.89</v>
      </c>
      <c r="K68" s="3" t="n">
        <v>3965449.53</v>
      </c>
      <c r="L68" s="3" t="n">
        <v>13595680.36</v>
      </c>
    </row>
    <row r="69">
      <c r="A69" t="inlineStr">
        <is>
          <t>IST YOLU MGZ</t>
        </is>
      </c>
      <c r="B69" t="inlineStr">
        <is>
          <t>2025-09</t>
        </is>
      </c>
      <c r="C69" t="inlineStr">
        <is>
          <t>DigerKampanya</t>
        </is>
      </c>
      <c r="D69" s="2" t="n">
        <v>11094</v>
      </c>
      <c r="E69" s="3" t="n">
        <v>1413.74</v>
      </c>
      <c r="F69" s="3" t="n">
        <v>229.45</v>
      </c>
      <c r="G69" s="3" t="n">
        <v>1184.28</v>
      </c>
      <c r="H69" s="4" t="n">
        <v>8.6</v>
      </c>
      <c r="I69" s="4" t="n">
        <v>16.2</v>
      </c>
      <c r="J69" s="3" t="n">
        <v>15683993.46</v>
      </c>
      <c r="K69" s="3" t="n">
        <v>2545563.7</v>
      </c>
      <c r="L69" s="3" t="n">
        <v>13138429.76</v>
      </c>
    </row>
    <row r="70">
      <c r="A70" t="inlineStr">
        <is>
          <t>IST YOLU MGZ</t>
        </is>
      </c>
      <c r="B70" t="inlineStr">
        <is>
          <t>2025-09</t>
        </is>
      </c>
      <c r="C70" t="inlineStr">
        <is>
          <t>Kampanyasiz</t>
        </is>
      </c>
      <c r="D70" s="2" t="n">
        <v>9375</v>
      </c>
      <c r="E70" s="3" t="n">
        <v>635.6</v>
      </c>
      <c r="F70" s="3" t="n">
        <v>0</v>
      </c>
      <c r="G70" s="3" t="n">
        <v>635.6</v>
      </c>
      <c r="H70" s="4" t="n">
        <v>3</v>
      </c>
      <c r="I70" s="4" t="n">
        <v>0</v>
      </c>
      <c r="J70" s="3" t="n">
        <v>5958724.9</v>
      </c>
      <c r="K70" s="3" t="n">
        <v>0</v>
      </c>
      <c r="L70" s="3" t="n">
        <v>5958724.9</v>
      </c>
    </row>
    <row r="71">
      <c r="A71" t="inlineStr">
        <is>
          <t>IST YOLU MGZ</t>
        </is>
      </c>
      <c r="B71" t="inlineStr">
        <is>
          <t>2025-10</t>
        </is>
      </c>
      <c r="C71" t="inlineStr">
        <is>
          <t>3Al2Ode</t>
        </is>
      </c>
      <c r="D71" s="2" t="n">
        <v>7184</v>
      </c>
      <c r="E71" s="3" t="n">
        <v>1627.73</v>
      </c>
      <c r="F71" s="3" t="n">
        <v>393.69</v>
      </c>
      <c r="G71" s="3" t="n">
        <v>1234.04</v>
      </c>
      <c r="H71" s="4" t="n">
        <v>7.7</v>
      </c>
      <c r="I71" s="4" t="n">
        <v>24.2</v>
      </c>
      <c r="J71" s="3" t="n">
        <v>11693639.09</v>
      </c>
      <c r="K71" s="3" t="n">
        <v>2828277.03</v>
      </c>
      <c r="L71" s="3" t="n">
        <v>8865362.060000001</v>
      </c>
    </row>
    <row r="72">
      <c r="A72" t="inlineStr">
        <is>
          <t>IST YOLU MGZ</t>
        </is>
      </c>
      <c r="B72" t="inlineStr">
        <is>
          <t>2025-10</t>
        </is>
      </c>
      <c r="C72" t="inlineStr">
        <is>
          <t>DigerKampanya</t>
        </is>
      </c>
      <c r="D72" s="2" t="n">
        <v>9653</v>
      </c>
      <c r="E72" s="3" t="n">
        <v>737.5700000000001</v>
      </c>
      <c r="F72" s="3" t="n">
        <v>131.1</v>
      </c>
      <c r="G72" s="3" t="n">
        <v>606.47</v>
      </c>
      <c r="H72" s="4" t="n">
        <v>4.6</v>
      </c>
      <c r="I72" s="4" t="n">
        <v>17.8</v>
      </c>
      <c r="J72" s="3" t="n">
        <v>7119775.68</v>
      </c>
      <c r="K72" s="3" t="n">
        <v>1265509.23</v>
      </c>
      <c r="L72" s="3" t="n">
        <v>5854266.45</v>
      </c>
    </row>
    <row r="73">
      <c r="A73" t="inlineStr">
        <is>
          <t>IST YOLU MGZ</t>
        </is>
      </c>
      <c r="B73" t="inlineStr">
        <is>
          <t>2025-10</t>
        </is>
      </c>
      <c r="C73" t="inlineStr">
        <is>
          <t>Kampanyasiz</t>
        </is>
      </c>
      <c r="D73" s="2" t="n">
        <v>9053</v>
      </c>
      <c r="E73" s="3" t="n">
        <v>392.11</v>
      </c>
      <c r="F73" s="3" t="n">
        <v>0</v>
      </c>
      <c r="G73" s="3" t="n">
        <v>392.11</v>
      </c>
      <c r="H73" s="4" t="n">
        <v>2.3</v>
      </c>
      <c r="I73" s="4" t="n">
        <v>0</v>
      </c>
      <c r="J73" s="3" t="n">
        <v>3549768.62</v>
      </c>
      <c r="K73" s="3" t="n">
        <v>0</v>
      </c>
      <c r="L73" s="3" t="n">
        <v>3549768.62</v>
      </c>
    </row>
    <row r="74">
      <c r="A74" t="inlineStr">
        <is>
          <t>IST YOLU MGZ</t>
        </is>
      </c>
      <c r="B74" t="inlineStr">
        <is>
          <t>2025-11</t>
        </is>
      </c>
      <c r="C74" t="inlineStr">
        <is>
          <t>3Al2Ode</t>
        </is>
      </c>
      <c r="D74" s="2" t="n">
        <v>5846</v>
      </c>
      <c r="E74" s="3" t="n">
        <v>1550.1</v>
      </c>
      <c r="F74" s="3" t="n">
        <v>377.78</v>
      </c>
      <c r="G74" s="3" t="n">
        <v>1172.31</v>
      </c>
      <c r="H74" s="4" t="n">
        <v>7.8</v>
      </c>
      <c r="I74" s="4" t="n">
        <v>24.4</v>
      </c>
      <c r="J74" s="3" t="n">
        <v>9061859.390000001</v>
      </c>
      <c r="K74" s="3" t="n">
        <v>2208517.71</v>
      </c>
      <c r="L74" s="3" t="n">
        <v>6853341.68</v>
      </c>
    </row>
    <row r="75">
      <c r="A75" t="inlineStr">
        <is>
          <t>IST YOLU MGZ</t>
        </is>
      </c>
      <c r="B75" t="inlineStr">
        <is>
          <t>2025-11</t>
        </is>
      </c>
      <c r="C75" t="inlineStr">
        <is>
          <t>DigerKampanya</t>
        </is>
      </c>
      <c r="D75" s="2" t="n">
        <v>9048</v>
      </c>
      <c r="E75" s="3" t="n">
        <v>673.91</v>
      </c>
      <c r="F75" s="3" t="n">
        <v>132.04</v>
      </c>
      <c r="G75" s="3" t="n">
        <v>541.87</v>
      </c>
      <c r="H75" s="4" t="n">
        <v>4.4</v>
      </c>
      <c r="I75" s="4" t="n">
        <v>19.6</v>
      </c>
      <c r="J75" s="3" t="n">
        <v>6097545.59</v>
      </c>
      <c r="K75" s="3" t="n">
        <v>1194690.66</v>
      </c>
      <c r="L75" s="3" t="n">
        <v>4902854.93</v>
      </c>
    </row>
    <row r="76">
      <c r="A76" t="inlineStr">
        <is>
          <t>IST YOLU MGZ</t>
        </is>
      </c>
      <c r="B76" t="inlineStr">
        <is>
          <t>2025-11</t>
        </is>
      </c>
      <c r="C76" t="inlineStr">
        <is>
          <t>Kampanyasiz</t>
        </is>
      </c>
      <c r="D76" s="2" t="n">
        <v>9026</v>
      </c>
      <c r="E76" s="3" t="n">
        <v>336.6</v>
      </c>
      <c r="F76" s="3" t="n">
        <v>0</v>
      </c>
      <c r="G76" s="3" t="n">
        <v>336.6</v>
      </c>
      <c r="H76" s="4" t="n">
        <v>2.3</v>
      </c>
      <c r="I76" s="4" t="n">
        <v>0</v>
      </c>
      <c r="J76" s="3" t="n">
        <v>3038112.58</v>
      </c>
      <c r="K76" s="3" t="n">
        <v>0</v>
      </c>
      <c r="L76" s="3" t="n">
        <v>3038112.58</v>
      </c>
    </row>
    <row r="77">
      <c r="A77" t="inlineStr">
        <is>
          <t>IST YOLU MGZ</t>
        </is>
      </c>
      <c r="B77" t="inlineStr">
        <is>
          <t>2025-12</t>
        </is>
      </c>
      <c r="C77" t="inlineStr">
        <is>
          <t>3Al2Ode</t>
        </is>
      </c>
      <c r="D77" s="2" t="n">
        <v>5206</v>
      </c>
      <c r="E77" s="3" t="n">
        <v>1569.66</v>
      </c>
      <c r="F77" s="3" t="n">
        <v>368.24</v>
      </c>
      <c r="G77" s="3" t="n">
        <v>1201.42</v>
      </c>
      <c r="H77" s="4" t="n">
        <v>7.6</v>
      </c>
      <c r="I77" s="4" t="n">
        <v>23.5</v>
      </c>
      <c r="J77" s="3" t="n">
        <v>8171650.06</v>
      </c>
      <c r="K77" s="3" t="n">
        <v>1917033.13</v>
      </c>
      <c r="L77" s="3" t="n">
        <v>6254616.93</v>
      </c>
    </row>
    <row r="78">
      <c r="A78" t="inlineStr">
        <is>
          <t>IST YOLU MGZ</t>
        </is>
      </c>
      <c r="B78" t="inlineStr">
        <is>
          <t>2025-12</t>
        </is>
      </c>
      <c r="C78" t="inlineStr">
        <is>
          <t>DigerKampanya</t>
        </is>
      </c>
      <c r="D78" s="2" t="n">
        <v>9916</v>
      </c>
      <c r="E78" s="3" t="n">
        <v>726.42</v>
      </c>
      <c r="F78" s="3" t="n">
        <v>143.91</v>
      </c>
      <c r="G78" s="3" t="n">
        <v>582.5</v>
      </c>
      <c r="H78" s="4" t="n">
        <v>4.5</v>
      </c>
      <c r="I78" s="4" t="n">
        <v>19.8</v>
      </c>
      <c r="J78" s="3" t="n">
        <v>7203154.82</v>
      </c>
      <c r="K78" s="3" t="n">
        <v>1427037.89</v>
      </c>
      <c r="L78" s="3" t="n">
        <v>5776116.93</v>
      </c>
    </row>
    <row r="79">
      <c r="A79" t="inlineStr">
        <is>
          <t>IST YOLU MGZ</t>
        </is>
      </c>
      <c r="B79" t="inlineStr">
        <is>
          <t>2025-12</t>
        </is>
      </c>
      <c r="C79" t="inlineStr">
        <is>
          <t>Kampanyasiz</t>
        </is>
      </c>
      <c r="D79" s="2" t="n">
        <v>8873</v>
      </c>
      <c r="E79" s="3" t="n">
        <v>398.55</v>
      </c>
      <c r="F79" s="3" t="n">
        <v>0</v>
      </c>
      <c r="G79" s="3" t="n">
        <v>398.55</v>
      </c>
      <c r="H79" s="4" t="n">
        <v>2.4</v>
      </c>
      <c r="I79" s="4" t="n">
        <v>0</v>
      </c>
      <c r="J79" s="3" t="n">
        <v>3536347.28</v>
      </c>
      <c r="K79" s="3" t="n">
        <v>0</v>
      </c>
      <c r="L79" s="3" t="n">
        <v>3536347.28</v>
      </c>
    </row>
    <row r="80">
      <c r="A80" t="inlineStr">
        <is>
          <t>IST YOLU MGZ</t>
        </is>
      </c>
      <c r="B80" t="inlineStr">
        <is>
          <t>2026-01</t>
        </is>
      </c>
      <c r="C80" t="inlineStr">
        <is>
          <t>3Al2Ode</t>
        </is>
      </c>
      <c r="D80" s="2" t="n">
        <v>7519</v>
      </c>
      <c r="E80" s="3" t="n">
        <v>1626.63</v>
      </c>
      <c r="F80" s="3" t="n">
        <v>390.15</v>
      </c>
      <c r="G80" s="3" t="n">
        <v>1236.49</v>
      </c>
      <c r="H80" s="4" t="n">
        <v>8</v>
      </c>
      <c r="I80" s="4" t="n">
        <v>24</v>
      </c>
      <c r="J80" s="3" t="n">
        <v>12230642.82</v>
      </c>
      <c r="K80" s="3" t="n">
        <v>2933505.02</v>
      </c>
      <c r="L80" s="3" t="n">
        <v>9297137.800000001</v>
      </c>
    </row>
    <row r="81">
      <c r="A81" t="inlineStr">
        <is>
          <t>IST YOLU MGZ</t>
        </is>
      </c>
      <c r="B81" t="inlineStr">
        <is>
          <t>2026-01</t>
        </is>
      </c>
      <c r="C81" t="inlineStr">
        <is>
          <t>DigerKampanya</t>
        </is>
      </c>
      <c r="D81" s="2" t="n">
        <v>12356</v>
      </c>
      <c r="E81" s="3" t="n">
        <v>662.04</v>
      </c>
      <c r="F81" s="3" t="n">
        <v>143.86</v>
      </c>
      <c r="G81" s="3" t="n">
        <v>518.1799999999999</v>
      </c>
      <c r="H81" s="4" t="n">
        <v>4.4</v>
      </c>
      <c r="I81" s="4" t="n">
        <v>21.7</v>
      </c>
      <c r="J81" s="3" t="n">
        <v>8180194.04</v>
      </c>
      <c r="K81" s="3" t="n">
        <v>1777523.72</v>
      </c>
      <c r="L81" s="3" t="n">
        <v>6402670.32</v>
      </c>
    </row>
    <row r="82">
      <c r="A82" t="inlineStr">
        <is>
          <t>IST YOLU MGZ</t>
        </is>
      </c>
      <c r="B82" t="inlineStr">
        <is>
          <t>2026-01</t>
        </is>
      </c>
      <c r="C82" t="inlineStr">
        <is>
          <t>Kampanyasiz</t>
        </is>
      </c>
      <c r="D82" s="2" t="n">
        <v>9777</v>
      </c>
      <c r="E82" s="3" t="n">
        <v>376.59</v>
      </c>
      <c r="F82" s="3" t="n">
        <v>0</v>
      </c>
      <c r="G82" s="3" t="n">
        <v>376.59</v>
      </c>
      <c r="H82" s="4" t="n">
        <v>2.2</v>
      </c>
      <c r="I82" s="4" t="n">
        <v>0</v>
      </c>
      <c r="J82" s="3" t="n">
        <v>3681917.03</v>
      </c>
      <c r="K82" s="3" t="n">
        <v>0</v>
      </c>
      <c r="L82" s="3" t="n">
        <v>3681917.03</v>
      </c>
    </row>
    <row r="83">
      <c r="A83" t="inlineStr">
        <is>
          <t>IST YOLU MGZ</t>
        </is>
      </c>
      <c r="B83" t="inlineStr">
        <is>
          <t>2026-02</t>
        </is>
      </c>
      <c r="C83" t="inlineStr">
        <is>
          <t>3Al2Ode</t>
        </is>
      </c>
      <c r="D83" s="2" t="n">
        <v>5144</v>
      </c>
      <c r="E83" s="3" t="n">
        <v>1660.04</v>
      </c>
      <c r="F83" s="3" t="n">
        <v>406.9</v>
      </c>
      <c r="G83" s="3" t="n">
        <v>1253.14</v>
      </c>
      <c r="H83" s="4" t="n">
        <v>7.6</v>
      </c>
      <c r="I83" s="4" t="n">
        <v>24.5</v>
      </c>
      <c r="J83" s="3" t="n">
        <v>8539271.199999999</v>
      </c>
      <c r="K83" s="3" t="n">
        <v>2093103.21</v>
      </c>
      <c r="L83" s="3" t="n">
        <v>6446167.99</v>
      </c>
    </row>
    <row r="84">
      <c r="A84" t="inlineStr">
        <is>
          <t>IST YOLU MGZ</t>
        </is>
      </c>
      <c r="B84" t="inlineStr">
        <is>
          <t>2026-02</t>
        </is>
      </c>
      <c r="C84" t="inlineStr">
        <is>
          <t>DigerKampanya</t>
        </is>
      </c>
      <c r="D84" s="2" t="n">
        <v>9990</v>
      </c>
      <c r="E84" s="3" t="n">
        <v>703.52</v>
      </c>
      <c r="F84" s="3" t="n">
        <v>146.14</v>
      </c>
      <c r="G84" s="3" t="n">
        <v>557.38</v>
      </c>
      <c r="H84" s="4" t="n">
        <v>4.5</v>
      </c>
      <c r="I84" s="4" t="n">
        <v>20.8</v>
      </c>
      <c r="J84" s="3" t="n">
        <v>7028196.88</v>
      </c>
      <c r="K84" s="3" t="n">
        <v>1459976.39</v>
      </c>
      <c r="L84" s="3" t="n">
        <v>5568220.49</v>
      </c>
    </row>
    <row r="85">
      <c r="A85" t="inlineStr">
        <is>
          <t>IST YOLU MGZ</t>
        </is>
      </c>
      <c r="B85" t="inlineStr">
        <is>
          <t>2026-02</t>
        </is>
      </c>
      <c r="C85" t="inlineStr">
        <is>
          <t>Kampanyasiz</t>
        </is>
      </c>
      <c r="D85" s="2" t="n">
        <v>7487</v>
      </c>
      <c r="E85" s="3" t="n">
        <v>438.34</v>
      </c>
      <c r="F85" s="3" t="n">
        <v>0</v>
      </c>
      <c r="G85" s="3" t="n">
        <v>438.34</v>
      </c>
      <c r="H85" s="4" t="n">
        <v>2.4</v>
      </c>
      <c r="I85" s="4" t="n">
        <v>0</v>
      </c>
      <c r="J85" s="3" t="n">
        <v>3281876.15</v>
      </c>
      <c r="K85" s="3" t="n">
        <v>0</v>
      </c>
      <c r="L85" s="3" t="n">
        <v>3281876.15</v>
      </c>
    </row>
    <row r="86">
      <c r="A86" t="inlineStr">
        <is>
          <t>IST YOLU MGZ</t>
        </is>
      </c>
      <c r="B86" t="inlineStr">
        <is>
          <t>2026-03</t>
        </is>
      </c>
      <c r="C86" t="inlineStr">
        <is>
          <t>3Al2Ode</t>
        </is>
      </c>
      <c r="D86" s="2" t="n">
        <v>5573</v>
      </c>
      <c r="E86" s="3" t="n">
        <v>1688.14</v>
      </c>
      <c r="F86" s="3" t="n">
        <v>417.3</v>
      </c>
      <c r="G86" s="3" t="n">
        <v>1270.84</v>
      </c>
      <c r="H86" s="4" t="n">
        <v>7.7</v>
      </c>
      <c r="I86" s="4" t="n">
        <v>24.7</v>
      </c>
      <c r="J86" s="3" t="n">
        <v>9408015.49</v>
      </c>
      <c r="K86" s="3" t="n">
        <v>2325621.42</v>
      </c>
      <c r="L86" s="3" t="n">
        <v>7082394.07</v>
      </c>
    </row>
    <row r="87">
      <c r="A87" t="inlineStr">
        <is>
          <t>IST YOLU MGZ</t>
        </is>
      </c>
      <c r="B87" t="inlineStr">
        <is>
          <t>2026-03</t>
        </is>
      </c>
      <c r="C87" t="inlineStr">
        <is>
          <t>DigerKampanya</t>
        </is>
      </c>
      <c r="D87" s="2" t="n">
        <v>11349</v>
      </c>
      <c r="E87" s="3" t="n">
        <v>697.6799999999999</v>
      </c>
      <c r="F87" s="3" t="n">
        <v>148.42</v>
      </c>
      <c r="G87" s="3" t="n">
        <v>549.27</v>
      </c>
      <c r="H87" s="4" t="n">
        <v>4.5</v>
      </c>
      <c r="I87" s="4" t="n">
        <v>21.3</v>
      </c>
      <c r="J87" s="3" t="n">
        <v>7917990.61</v>
      </c>
      <c r="K87" s="3" t="n">
        <v>1684378.25</v>
      </c>
      <c r="L87" s="3" t="n">
        <v>6233612.36</v>
      </c>
    </row>
    <row r="88">
      <c r="A88" t="inlineStr">
        <is>
          <t>IST YOLU MGZ</t>
        </is>
      </c>
      <c r="B88" t="inlineStr">
        <is>
          <t>2026-03</t>
        </is>
      </c>
      <c r="C88" t="inlineStr">
        <is>
          <t>Kampanyasiz</t>
        </is>
      </c>
      <c r="D88" s="2" t="n">
        <v>7469</v>
      </c>
      <c r="E88" s="3" t="n">
        <v>430.88</v>
      </c>
      <c r="F88" s="3" t="n">
        <v>0</v>
      </c>
      <c r="G88" s="3" t="n">
        <v>430.88</v>
      </c>
      <c r="H88" s="4" t="n">
        <v>2.2</v>
      </c>
      <c r="I88" s="4" t="n">
        <v>0</v>
      </c>
      <c r="J88" s="3" t="n">
        <v>3218239.75</v>
      </c>
      <c r="K88" s="3" t="n">
        <v>0</v>
      </c>
      <c r="L88" s="3" t="n">
        <v>3218239.75</v>
      </c>
    </row>
    <row r="89">
      <c r="A89" t="inlineStr">
        <is>
          <t>IST YOLU MGZ</t>
        </is>
      </c>
      <c r="B89" t="inlineStr">
        <is>
          <t>2026-04</t>
        </is>
      </c>
      <c r="C89" t="inlineStr">
        <is>
          <t>3Al2Ode</t>
        </is>
      </c>
      <c r="D89" s="2" t="n">
        <v>2346</v>
      </c>
      <c r="E89" s="3" t="n">
        <v>1565.75</v>
      </c>
      <c r="F89" s="3" t="n">
        <v>382.66</v>
      </c>
      <c r="G89" s="3" t="n">
        <v>1183.09</v>
      </c>
      <c r="H89" s="4" t="n">
        <v>7.6</v>
      </c>
      <c r="I89" s="4" t="n">
        <v>24.4</v>
      </c>
      <c r="J89" s="3" t="n">
        <v>3673242.11</v>
      </c>
      <c r="K89" s="3" t="n">
        <v>897718.11</v>
      </c>
      <c r="L89" s="3" t="n">
        <v>2775524</v>
      </c>
    </row>
    <row r="90">
      <c r="A90" t="inlineStr">
        <is>
          <t>IST YOLU MGZ</t>
        </is>
      </c>
      <c r="B90" t="inlineStr">
        <is>
          <t>2026-04</t>
        </is>
      </c>
      <c r="C90" t="inlineStr">
        <is>
          <t>DigerKampanya</t>
        </is>
      </c>
      <c r="D90" s="2" t="n">
        <v>5662</v>
      </c>
      <c r="E90" s="3" t="n">
        <v>661.11</v>
      </c>
      <c r="F90" s="3" t="n">
        <v>142.06</v>
      </c>
      <c r="G90" s="3" t="n">
        <v>519.05</v>
      </c>
      <c r="H90" s="4" t="n">
        <v>4.6</v>
      </c>
      <c r="I90" s="4" t="n">
        <v>21.5</v>
      </c>
      <c r="J90" s="3" t="n">
        <v>3743218.29</v>
      </c>
      <c r="K90" s="3" t="n">
        <v>804371.33</v>
      </c>
      <c r="L90" s="3" t="n">
        <v>2938846.96</v>
      </c>
    </row>
    <row r="91">
      <c r="A91" t="inlineStr">
        <is>
          <t>IST YOLU MGZ</t>
        </is>
      </c>
      <c r="B91" t="inlineStr">
        <is>
          <t>2026-04</t>
        </is>
      </c>
      <c r="C91" t="inlineStr">
        <is>
          <t>Kampanyasiz</t>
        </is>
      </c>
      <c r="D91" s="2" t="n">
        <v>3259</v>
      </c>
      <c r="E91" s="3" t="n">
        <v>393.4</v>
      </c>
      <c r="F91" s="3" t="n">
        <v>0</v>
      </c>
      <c r="G91" s="3" t="n">
        <v>393.4</v>
      </c>
      <c r="H91" s="4" t="n">
        <v>2.2</v>
      </c>
      <c r="I91" s="4" t="n">
        <v>0</v>
      </c>
      <c r="J91" s="3" t="n">
        <v>1282106.29</v>
      </c>
      <c r="K91" s="3" t="n">
        <v>0</v>
      </c>
      <c r="L91" s="3" t="n">
        <v>1282106.29</v>
      </c>
    </row>
    <row r="92">
      <c r="A92" t="inlineStr">
        <is>
          <t>ÖZLÜCE</t>
        </is>
      </c>
      <c r="B92" t="inlineStr">
        <is>
          <t>2025-07</t>
        </is>
      </c>
      <c r="C92" t="inlineStr">
        <is>
          <t>3Al2Ode</t>
        </is>
      </c>
      <c r="D92" s="2" t="n">
        <v>2015</v>
      </c>
      <c r="E92" s="3" t="n">
        <v>1427.05</v>
      </c>
      <c r="F92" s="3" t="n">
        <v>334.06</v>
      </c>
      <c r="G92" s="3" t="n">
        <v>1092.99</v>
      </c>
      <c r="H92" s="4" t="n">
        <v>7</v>
      </c>
      <c r="I92" s="4" t="n">
        <v>23.4</v>
      </c>
      <c r="J92" s="3" t="n">
        <v>2875508.82</v>
      </c>
      <c r="K92" s="3" t="n">
        <v>673135.03</v>
      </c>
      <c r="L92" s="3" t="n">
        <v>2202373.79</v>
      </c>
    </row>
    <row r="93">
      <c r="A93" t="inlineStr">
        <is>
          <t>ÖZLÜCE</t>
        </is>
      </c>
      <c r="B93" t="inlineStr">
        <is>
          <t>2025-07</t>
        </is>
      </c>
      <c r="C93" t="inlineStr">
        <is>
          <t>DigerKampanya</t>
        </is>
      </c>
      <c r="D93" s="2" t="n">
        <v>2321</v>
      </c>
      <c r="E93" s="3" t="n">
        <v>654.53</v>
      </c>
      <c r="F93" s="3" t="n">
        <v>132.12</v>
      </c>
      <c r="G93" s="3" t="n">
        <v>522.41</v>
      </c>
      <c r="H93" s="4" t="n">
        <v>4.1</v>
      </c>
      <c r="I93" s="4" t="n">
        <v>20.2</v>
      </c>
      <c r="J93" s="3" t="n">
        <v>1519174.42</v>
      </c>
      <c r="K93" s="3" t="n">
        <v>306649.45</v>
      </c>
      <c r="L93" s="3" t="n">
        <v>1212524.97</v>
      </c>
    </row>
    <row r="94">
      <c r="A94" t="inlineStr">
        <is>
          <t>ÖZLÜCE</t>
        </is>
      </c>
      <c r="B94" t="inlineStr">
        <is>
          <t>2025-07</t>
        </is>
      </c>
      <c r="C94" t="inlineStr">
        <is>
          <t>Kampanyasiz</t>
        </is>
      </c>
      <c r="D94" s="2" t="n">
        <v>3470</v>
      </c>
      <c r="E94" s="3" t="n">
        <v>398.94</v>
      </c>
      <c r="F94" s="3" t="n">
        <v>0</v>
      </c>
      <c r="G94" s="3" t="n">
        <v>398.94</v>
      </c>
      <c r="H94" s="4" t="n">
        <v>2.2</v>
      </c>
      <c r="I94" s="4" t="n">
        <v>0</v>
      </c>
      <c r="J94" s="3" t="n">
        <v>1384330.99</v>
      </c>
      <c r="K94" s="3" t="n">
        <v>0</v>
      </c>
      <c r="L94" s="3" t="n">
        <v>1384330.99</v>
      </c>
    </row>
    <row r="95">
      <c r="A95" t="inlineStr">
        <is>
          <t>ÖZLÜCE</t>
        </is>
      </c>
      <c r="B95" t="inlineStr">
        <is>
          <t>2025-08</t>
        </is>
      </c>
      <c r="C95" t="inlineStr">
        <is>
          <t>3Al2Ode</t>
        </is>
      </c>
      <c r="D95" s="2" t="n">
        <v>7405</v>
      </c>
      <c r="E95" s="3" t="n">
        <v>1660.23</v>
      </c>
      <c r="F95" s="3" t="n">
        <v>385.43</v>
      </c>
      <c r="G95" s="3" t="n">
        <v>1274.81</v>
      </c>
      <c r="H95" s="4" t="n">
        <v>8</v>
      </c>
      <c r="I95" s="4" t="n">
        <v>23.2</v>
      </c>
      <c r="J95" s="3" t="n">
        <v>12294020.26</v>
      </c>
      <c r="K95" s="3" t="n">
        <v>2854086.25</v>
      </c>
      <c r="L95" s="3" t="n">
        <v>9439934.01</v>
      </c>
    </row>
    <row r="96">
      <c r="A96" t="inlineStr">
        <is>
          <t>ÖZLÜCE</t>
        </is>
      </c>
      <c r="B96" t="inlineStr">
        <is>
          <t>2025-08</t>
        </is>
      </c>
      <c r="C96" t="inlineStr">
        <is>
          <t>DigerKampanya</t>
        </is>
      </c>
      <c r="D96" s="2" t="n">
        <v>8967</v>
      </c>
      <c r="E96" s="3" t="n">
        <v>942.88</v>
      </c>
      <c r="F96" s="3" t="n">
        <v>155.05</v>
      </c>
      <c r="G96" s="3" t="n">
        <v>787.83</v>
      </c>
      <c r="H96" s="4" t="n">
        <v>5.9</v>
      </c>
      <c r="I96" s="4" t="n">
        <v>16.4</v>
      </c>
      <c r="J96" s="3" t="n">
        <v>8454842.289999999</v>
      </c>
      <c r="K96" s="3" t="n">
        <v>1390367.76</v>
      </c>
      <c r="L96" s="3" t="n">
        <v>7064474.53</v>
      </c>
    </row>
    <row r="97">
      <c r="A97" t="inlineStr">
        <is>
          <t>ÖZLÜCE</t>
        </is>
      </c>
      <c r="B97" t="inlineStr">
        <is>
          <t>2025-08</t>
        </is>
      </c>
      <c r="C97" t="inlineStr">
        <is>
          <t>Kampanyasiz</t>
        </is>
      </c>
      <c r="D97" s="2" t="n">
        <v>12168</v>
      </c>
      <c r="E97" s="3" t="n">
        <v>423.81</v>
      </c>
      <c r="F97" s="3" t="n">
        <v>0</v>
      </c>
      <c r="G97" s="3" t="n">
        <v>423.81</v>
      </c>
      <c r="H97" s="4" t="n">
        <v>2.5</v>
      </c>
      <c r="I97" s="4" t="n">
        <v>0</v>
      </c>
      <c r="J97" s="3" t="n">
        <v>5156975.47</v>
      </c>
      <c r="K97" s="3" t="n">
        <v>0</v>
      </c>
      <c r="L97" s="3" t="n">
        <v>5156975.47</v>
      </c>
    </row>
    <row r="98">
      <c r="A98" t="inlineStr">
        <is>
          <t>ÖZLÜCE</t>
        </is>
      </c>
      <c r="B98" t="inlineStr">
        <is>
          <t>2025-09</t>
        </is>
      </c>
      <c r="C98" t="inlineStr">
        <is>
          <t>3Al2Ode</t>
        </is>
      </c>
      <c r="D98" s="2" t="n">
        <v>13886</v>
      </c>
      <c r="E98" s="3" t="n">
        <v>1938.88</v>
      </c>
      <c r="F98" s="3" t="n">
        <v>441.58</v>
      </c>
      <c r="G98" s="3" t="n">
        <v>1497.31</v>
      </c>
      <c r="H98" s="4" t="n">
        <v>8.6</v>
      </c>
      <c r="I98" s="4" t="n">
        <v>22.8</v>
      </c>
      <c r="J98" s="3" t="n">
        <v>26923344.03</v>
      </c>
      <c r="K98" s="3" t="n">
        <v>6131748.14</v>
      </c>
      <c r="L98" s="3" t="n">
        <v>20791595.89</v>
      </c>
    </row>
    <row r="99">
      <c r="A99" t="inlineStr">
        <is>
          <t>ÖZLÜCE</t>
        </is>
      </c>
      <c r="B99" t="inlineStr">
        <is>
          <t>2025-09</t>
        </is>
      </c>
      <c r="C99" t="inlineStr">
        <is>
          <t>DigerKampanya</t>
        </is>
      </c>
      <c r="D99" s="2" t="n">
        <v>16386</v>
      </c>
      <c r="E99" s="3" t="n">
        <v>1211.54</v>
      </c>
      <c r="F99" s="3" t="n">
        <v>206.54</v>
      </c>
      <c r="G99" s="3" t="n">
        <v>1005</v>
      </c>
      <c r="H99" s="4" t="n">
        <v>7.1</v>
      </c>
      <c r="I99" s="4" t="n">
        <v>17</v>
      </c>
      <c r="J99" s="3" t="n">
        <v>19852251.3</v>
      </c>
      <c r="K99" s="3" t="n">
        <v>3384320.91</v>
      </c>
      <c r="L99" s="3" t="n">
        <v>16467930.39</v>
      </c>
    </row>
    <row r="100">
      <c r="A100" t="inlineStr">
        <is>
          <t>ÖZLÜCE</t>
        </is>
      </c>
      <c r="B100" t="inlineStr">
        <is>
          <t>2025-09</t>
        </is>
      </c>
      <c r="C100" t="inlineStr">
        <is>
          <t>Kampanyasiz</t>
        </is>
      </c>
      <c r="D100" s="2" t="n">
        <v>16302</v>
      </c>
      <c r="E100" s="3" t="n">
        <v>511.9</v>
      </c>
      <c r="F100" s="3" t="n">
        <v>0</v>
      </c>
      <c r="G100" s="3" t="n">
        <v>511.9</v>
      </c>
      <c r="H100" s="4" t="n">
        <v>3</v>
      </c>
      <c r="I100" s="4" t="n">
        <v>0</v>
      </c>
      <c r="J100" s="3" t="n">
        <v>8344930.61</v>
      </c>
      <c r="K100" s="3" t="n">
        <v>0</v>
      </c>
      <c r="L100" s="3" t="n">
        <v>8344930.61</v>
      </c>
    </row>
    <row r="101">
      <c r="A101" t="inlineStr">
        <is>
          <t>ÖZLÜCE</t>
        </is>
      </c>
      <c r="B101" t="inlineStr">
        <is>
          <t>2025-10</t>
        </is>
      </c>
      <c r="C101" t="inlineStr">
        <is>
          <t>3Al2Ode</t>
        </is>
      </c>
      <c r="D101" s="2" t="n">
        <v>11836</v>
      </c>
      <c r="E101" s="3" t="n">
        <v>1607.78</v>
      </c>
      <c r="F101" s="3" t="n">
        <v>390.86</v>
      </c>
      <c r="G101" s="3" t="n">
        <v>1216.92</v>
      </c>
      <c r="H101" s="4" t="n">
        <v>7.4</v>
      </c>
      <c r="I101" s="4" t="n">
        <v>24.3</v>
      </c>
      <c r="J101" s="3" t="n">
        <v>19029695.61</v>
      </c>
      <c r="K101" s="3" t="n">
        <v>4626240.83</v>
      </c>
      <c r="L101" s="3" t="n">
        <v>14403454.78</v>
      </c>
    </row>
    <row r="102">
      <c r="A102" t="inlineStr">
        <is>
          <t>ÖZLÜCE</t>
        </is>
      </c>
      <c r="B102" t="inlineStr">
        <is>
          <t>2025-10</t>
        </is>
      </c>
      <c r="C102" t="inlineStr">
        <is>
          <t>DigerKampanya</t>
        </is>
      </c>
      <c r="D102" s="2" t="n">
        <v>14631</v>
      </c>
      <c r="E102" s="3" t="n">
        <v>760.13</v>
      </c>
      <c r="F102" s="3" t="n">
        <v>122.66</v>
      </c>
      <c r="G102" s="3" t="n">
        <v>637.47</v>
      </c>
      <c r="H102" s="4" t="n">
        <v>4.8</v>
      </c>
      <c r="I102" s="4" t="n">
        <v>16.1</v>
      </c>
      <c r="J102" s="3" t="n">
        <v>11121418.42</v>
      </c>
      <c r="K102" s="3" t="n">
        <v>1794651.9</v>
      </c>
      <c r="L102" s="3" t="n">
        <v>9326766.52</v>
      </c>
    </row>
    <row r="103">
      <c r="A103" t="inlineStr">
        <is>
          <t>ÖZLÜCE</t>
        </is>
      </c>
      <c r="B103" t="inlineStr">
        <is>
          <t>2025-10</t>
        </is>
      </c>
      <c r="C103" t="inlineStr">
        <is>
          <t>Kampanyasiz</t>
        </is>
      </c>
      <c r="D103" s="2" t="n">
        <v>15607</v>
      </c>
      <c r="E103" s="3" t="n">
        <v>388.56</v>
      </c>
      <c r="F103" s="3" t="n">
        <v>0</v>
      </c>
      <c r="G103" s="3" t="n">
        <v>388.56</v>
      </c>
      <c r="H103" s="4" t="n">
        <v>2.5</v>
      </c>
      <c r="I103" s="4" t="n">
        <v>0</v>
      </c>
      <c r="J103" s="3" t="n">
        <v>6064313.53</v>
      </c>
      <c r="K103" s="3" t="n">
        <v>0</v>
      </c>
      <c r="L103" s="3" t="n">
        <v>6064313.53</v>
      </c>
    </row>
    <row r="104">
      <c r="A104" t="inlineStr">
        <is>
          <t>ÖZLÜCE</t>
        </is>
      </c>
      <c r="B104" t="inlineStr">
        <is>
          <t>2025-11</t>
        </is>
      </c>
      <c r="C104" t="inlineStr">
        <is>
          <t>3Al2Ode</t>
        </is>
      </c>
      <c r="D104" s="2" t="n">
        <v>9703</v>
      </c>
      <c r="E104" s="3" t="n">
        <v>1535.53</v>
      </c>
      <c r="F104" s="3" t="n">
        <v>369.43</v>
      </c>
      <c r="G104" s="3" t="n">
        <v>1166.11</v>
      </c>
      <c r="H104" s="4" t="n">
        <v>7.2</v>
      </c>
      <c r="I104" s="4" t="n">
        <v>24.1</v>
      </c>
      <c r="J104" s="3" t="n">
        <v>14899273.44</v>
      </c>
      <c r="K104" s="3" t="n">
        <v>3584551.33</v>
      </c>
      <c r="L104" s="3" t="n">
        <v>11314722.11</v>
      </c>
    </row>
    <row r="105">
      <c r="A105" t="inlineStr">
        <is>
          <t>ÖZLÜCE</t>
        </is>
      </c>
      <c r="B105" t="inlineStr">
        <is>
          <t>2025-11</t>
        </is>
      </c>
      <c r="C105" t="inlineStr">
        <is>
          <t>DigerKampanya</t>
        </is>
      </c>
      <c r="D105" s="2" t="n">
        <v>12614</v>
      </c>
      <c r="E105" s="3" t="n">
        <v>723.02</v>
      </c>
      <c r="F105" s="3" t="n">
        <v>128.17</v>
      </c>
      <c r="G105" s="3" t="n">
        <v>594.86</v>
      </c>
      <c r="H105" s="4" t="n">
        <v>4.8</v>
      </c>
      <c r="I105" s="4" t="n">
        <v>17.7</v>
      </c>
      <c r="J105" s="3" t="n">
        <v>9120230.02</v>
      </c>
      <c r="K105" s="3" t="n">
        <v>1616707.78</v>
      </c>
      <c r="L105" s="3" t="n">
        <v>7503522.24</v>
      </c>
    </row>
    <row r="106">
      <c r="A106" t="inlineStr">
        <is>
          <t>ÖZLÜCE</t>
        </is>
      </c>
      <c r="B106" t="inlineStr">
        <is>
          <t>2025-11</t>
        </is>
      </c>
      <c r="C106" t="inlineStr">
        <is>
          <t>Kampanyasiz</t>
        </is>
      </c>
      <c r="D106" s="2" t="n">
        <v>15075</v>
      </c>
      <c r="E106" s="3" t="n">
        <v>403.15</v>
      </c>
      <c r="F106" s="3" t="n">
        <v>0</v>
      </c>
      <c r="G106" s="3" t="n">
        <v>403.15</v>
      </c>
      <c r="H106" s="4" t="n">
        <v>2.5</v>
      </c>
      <c r="I106" s="4" t="n">
        <v>0</v>
      </c>
      <c r="J106" s="3" t="n">
        <v>6077509.97</v>
      </c>
      <c r="K106" s="3" t="n">
        <v>0</v>
      </c>
      <c r="L106" s="3" t="n">
        <v>6077509.97</v>
      </c>
    </row>
    <row r="107">
      <c r="A107" t="inlineStr">
        <is>
          <t>ÖZLÜCE</t>
        </is>
      </c>
      <c r="B107" t="inlineStr">
        <is>
          <t>2025-12</t>
        </is>
      </c>
      <c r="C107" t="inlineStr">
        <is>
          <t>3Al2Ode</t>
        </is>
      </c>
      <c r="D107" s="2" t="n">
        <v>9868</v>
      </c>
      <c r="E107" s="3" t="n">
        <v>1539.91</v>
      </c>
      <c r="F107" s="3" t="n">
        <v>357.42</v>
      </c>
      <c r="G107" s="3" t="n">
        <v>1182.48</v>
      </c>
      <c r="H107" s="4" t="n">
        <v>7.1</v>
      </c>
      <c r="I107" s="4" t="n">
        <v>23.2</v>
      </c>
      <c r="J107" s="3" t="n">
        <v>15195785.94</v>
      </c>
      <c r="K107" s="3" t="n">
        <v>3527036.42</v>
      </c>
      <c r="L107" s="3" t="n">
        <v>11668749.52</v>
      </c>
    </row>
    <row r="108">
      <c r="A108" t="inlineStr">
        <is>
          <t>ÖZLÜCE</t>
        </is>
      </c>
      <c r="B108" t="inlineStr">
        <is>
          <t>2025-12</t>
        </is>
      </c>
      <c r="C108" t="inlineStr">
        <is>
          <t>DigerKampanya</t>
        </is>
      </c>
      <c r="D108" s="2" t="n">
        <v>15740</v>
      </c>
      <c r="E108" s="3" t="n">
        <v>797.85</v>
      </c>
      <c r="F108" s="3" t="n">
        <v>145</v>
      </c>
      <c r="G108" s="3" t="n">
        <v>652.85</v>
      </c>
      <c r="H108" s="4" t="n">
        <v>4.8</v>
      </c>
      <c r="I108" s="4" t="n">
        <v>18.2</v>
      </c>
      <c r="J108" s="3" t="n">
        <v>12558130.01</v>
      </c>
      <c r="K108" s="3" t="n">
        <v>2282272.62</v>
      </c>
      <c r="L108" s="3" t="n">
        <v>10275857.39</v>
      </c>
    </row>
    <row r="109">
      <c r="A109" t="inlineStr">
        <is>
          <t>ÖZLÜCE</t>
        </is>
      </c>
      <c r="B109" t="inlineStr">
        <is>
          <t>2025-12</t>
        </is>
      </c>
      <c r="C109" t="inlineStr">
        <is>
          <t>Kampanyasiz</t>
        </is>
      </c>
      <c r="D109" s="2" t="n">
        <v>17092</v>
      </c>
      <c r="E109" s="3" t="n">
        <v>464.46</v>
      </c>
      <c r="F109" s="3" t="n">
        <v>0</v>
      </c>
      <c r="G109" s="3" t="n">
        <v>464.46</v>
      </c>
      <c r="H109" s="4" t="n">
        <v>2.7</v>
      </c>
      <c r="I109" s="4" t="n">
        <v>0</v>
      </c>
      <c r="J109" s="3" t="n">
        <v>7938495.99</v>
      </c>
      <c r="K109" s="3" t="n">
        <v>0</v>
      </c>
      <c r="L109" s="3" t="n">
        <v>7938495.99</v>
      </c>
    </row>
    <row r="110">
      <c r="A110" t="inlineStr">
        <is>
          <t>ÖZLÜCE</t>
        </is>
      </c>
      <c r="B110" t="inlineStr">
        <is>
          <t>2026-01</t>
        </is>
      </c>
      <c r="C110" t="inlineStr">
        <is>
          <t>3Al2Ode</t>
        </is>
      </c>
      <c r="D110" s="2" t="n">
        <v>10785</v>
      </c>
      <c r="E110" s="3" t="n">
        <v>1653.19</v>
      </c>
      <c r="F110" s="3" t="n">
        <v>384.29</v>
      </c>
      <c r="G110" s="3" t="n">
        <v>1268.9</v>
      </c>
      <c r="H110" s="4" t="n">
        <v>7.5</v>
      </c>
      <c r="I110" s="4" t="n">
        <v>23.2</v>
      </c>
      <c r="J110" s="3" t="n">
        <v>17829683.06</v>
      </c>
      <c r="K110" s="3" t="n">
        <v>4144620.33</v>
      </c>
      <c r="L110" s="3" t="n">
        <v>13685062.73</v>
      </c>
    </row>
    <row r="111">
      <c r="A111" t="inlineStr">
        <is>
          <t>ÖZLÜCE</t>
        </is>
      </c>
      <c r="B111" t="inlineStr">
        <is>
          <t>2026-01</t>
        </is>
      </c>
      <c r="C111" t="inlineStr">
        <is>
          <t>DigerKampanya</t>
        </is>
      </c>
      <c r="D111" s="2" t="n">
        <v>15591</v>
      </c>
      <c r="E111" s="3" t="n">
        <v>756.22</v>
      </c>
      <c r="F111" s="3" t="n">
        <v>139.53</v>
      </c>
      <c r="G111" s="3" t="n">
        <v>616.6900000000001</v>
      </c>
      <c r="H111" s="4" t="n">
        <v>4.7</v>
      </c>
      <c r="I111" s="4" t="n">
        <v>18.5</v>
      </c>
      <c r="J111" s="3" t="n">
        <v>11790216.88</v>
      </c>
      <c r="K111" s="3" t="n">
        <v>2175361.84</v>
      </c>
      <c r="L111" s="3" t="n">
        <v>9614855.039999999</v>
      </c>
    </row>
    <row r="112">
      <c r="A112" t="inlineStr">
        <is>
          <t>ÖZLÜCE</t>
        </is>
      </c>
      <c r="B112" t="inlineStr">
        <is>
          <t>2026-01</t>
        </is>
      </c>
      <c r="C112" t="inlineStr">
        <is>
          <t>Kampanyasiz</t>
        </is>
      </c>
      <c r="D112" s="2" t="n">
        <v>15276</v>
      </c>
      <c r="E112" s="3" t="n">
        <v>489.4</v>
      </c>
      <c r="F112" s="3" t="n">
        <v>0</v>
      </c>
      <c r="G112" s="3" t="n">
        <v>489.4</v>
      </c>
      <c r="H112" s="4" t="n">
        <v>2.5</v>
      </c>
      <c r="I112" s="4" t="n">
        <v>0</v>
      </c>
      <c r="J112" s="3" t="n">
        <v>7476086.49</v>
      </c>
      <c r="K112" s="3" t="n">
        <v>0</v>
      </c>
      <c r="L112" s="3" t="n">
        <v>7476086.49</v>
      </c>
    </row>
    <row r="113">
      <c r="A113" t="inlineStr">
        <is>
          <t>ÖZLÜCE</t>
        </is>
      </c>
      <c r="B113" t="inlineStr">
        <is>
          <t>2026-02</t>
        </is>
      </c>
      <c r="C113" t="inlineStr">
        <is>
          <t>3Al2Ode</t>
        </is>
      </c>
      <c r="D113" s="2" t="n">
        <v>8975</v>
      </c>
      <c r="E113" s="3" t="n">
        <v>1601.52</v>
      </c>
      <c r="F113" s="3" t="n">
        <v>377.93</v>
      </c>
      <c r="G113" s="3" t="n">
        <v>1223.59</v>
      </c>
      <c r="H113" s="4" t="n">
        <v>7.1</v>
      </c>
      <c r="I113" s="4" t="n">
        <v>23.6</v>
      </c>
      <c r="J113" s="3" t="n">
        <v>14373681.23</v>
      </c>
      <c r="K113" s="3" t="n">
        <v>3391932.4</v>
      </c>
      <c r="L113" s="3" t="n">
        <v>10981748.83</v>
      </c>
    </row>
    <row r="114">
      <c r="A114" t="inlineStr">
        <is>
          <t>ÖZLÜCE</t>
        </is>
      </c>
      <c r="B114" t="inlineStr">
        <is>
          <t>2026-02</t>
        </is>
      </c>
      <c r="C114" t="inlineStr">
        <is>
          <t>DigerKampanya</t>
        </is>
      </c>
      <c r="D114" s="2" t="n">
        <v>13287</v>
      </c>
      <c r="E114" s="3" t="n">
        <v>745.58</v>
      </c>
      <c r="F114" s="3" t="n">
        <v>144.6</v>
      </c>
      <c r="G114" s="3" t="n">
        <v>600.97</v>
      </c>
      <c r="H114" s="4" t="n">
        <v>4.6</v>
      </c>
      <c r="I114" s="4" t="n">
        <v>19.4</v>
      </c>
      <c r="J114" s="3" t="n">
        <v>9906462.23</v>
      </c>
      <c r="K114" s="3" t="n">
        <v>1921352.02</v>
      </c>
      <c r="L114" s="3" t="n">
        <v>7985110.21</v>
      </c>
    </row>
    <row r="115">
      <c r="A115" t="inlineStr">
        <is>
          <t>ÖZLÜCE</t>
        </is>
      </c>
      <c r="B115" t="inlineStr">
        <is>
          <t>2026-02</t>
        </is>
      </c>
      <c r="C115" t="inlineStr">
        <is>
          <t>Kampanyasiz</t>
        </is>
      </c>
      <c r="D115" s="2" t="n">
        <v>13414</v>
      </c>
      <c r="E115" s="3" t="n">
        <v>492.9</v>
      </c>
      <c r="F115" s="3" t="n">
        <v>0</v>
      </c>
      <c r="G115" s="3" t="n">
        <v>492.9</v>
      </c>
      <c r="H115" s="4" t="n">
        <v>2.6</v>
      </c>
      <c r="I115" s="4" t="n">
        <v>0</v>
      </c>
      <c r="J115" s="3" t="n">
        <v>6611825.71</v>
      </c>
      <c r="K115" s="3" t="n">
        <v>0</v>
      </c>
      <c r="L115" s="3" t="n">
        <v>6611825.71</v>
      </c>
    </row>
    <row r="116">
      <c r="A116" t="inlineStr">
        <is>
          <t>ÖZLÜCE</t>
        </is>
      </c>
      <c r="B116" t="inlineStr">
        <is>
          <t>2026-03</t>
        </is>
      </c>
      <c r="C116" t="inlineStr">
        <is>
          <t>3Al2Ode</t>
        </is>
      </c>
      <c r="D116" s="2" t="n">
        <v>9087</v>
      </c>
      <c r="E116" s="3" t="n">
        <v>1662.57</v>
      </c>
      <c r="F116" s="3" t="n">
        <v>393.72</v>
      </c>
      <c r="G116" s="3" t="n">
        <v>1268.86</v>
      </c>
      <c r="H116" s="4" t="n">
        <v>7.3</v>
      </c>
      <c r="I116" s="4" t="n">
        <v>23.7</v>
      </c>
      <c r="J116" s="3" t="n">
        <v>15107818.58</v>
      </c>
      <c r="K116" s="3" t="n">
        <v>3577694.18</v>
      </c>
      <c r="L116" s="3" t="n">
        <v>11530124.4</v>
      </c>
    </row>
    <row r="117">
      <c r="A117" t="inlineStr">
        <is>
          <t>ÖZLÜCE</t>
        </is>
      </c>
      <c r="B117" t="inlineStr">
        <is>
          <t>2026-03</t>
        </is>
      </c>
      <c r="C117" t="inlineStr">
        <is>
          <t>DigerKampanya</t>
        </is>
      </c>
      <c r="D117" s="2" t="n">
        <v>15100</v>
      </c>
      <c r="E117" s="3" t="n">
        <v>756.72</v>
      </c>
      <c r="F117" s="3" t="n">
        <v>147.63</v>
      </c>
      <c r="G117" s="3" t="n">
        <v>609.08</v>
      </c>
      <c r="H117" s="4" t="n">
        <v>4.7</v>
      </c>
      <c r="I117" s="4" t="n">
        <v>19.5</v>
      </c>
      <c r="J117" s="3" t="n">
        <v>11426421.8</v>
      </c>
      <c r="K117" s="3" t="n">
        <v>2229262.02</v>
      </c>
      <c r="L117" s="3" t="n">
        <v>9197159.779999999</v>
      </c>
    </row>
    <row r="118">
      <c r="A118" t="inlineStr">
        <is>
          <t>ÖZLÜCE</t>
        </is>
      </c>
      <c r="B118" t="inlineStr">
        <is>
          <t>2026-03</t>
        </is>
      </c>
      <c r="C118" t="inlineStr">
        <is>
          <t>Kampanyasiz</t>
        </is>
      </c>
      <c r="D118" s="2" t="n">
        <v>13480</v>
      </c>
      <c r="E118" s="3" t="n">
        <v>495.31</v>
      </c>
      <c r="F118" s="3" t="n">
        <v>0</v>
      </c>
      <c r="G118" s="3" t="n">
        <v>495.31</v>
      </c>
      <c r="H118" s="4" t="n">
        <v>2.5</v>
      </c>
      <c r="I118" s="4" t="n">
        <v>0</v>
      </c>
      <c r="J118" s="3" t="n">
        <v>6676833.61</v>
      </c>
      <c r="K118" s="3" t="n">
        <v>0</v>
      </c>
      <c r="L118" s="3" t="n">
        <v>6676833.61</v>
      </c>
    </row>
    <row r="119">
      <c r="A119" t="inlineStr">
        <is>
          <t>ÖZLÜCE</t>
        </is>
      </c>
      <c r="B119" t="inlineStr">
        <is>
          <t>2026-04</t>
        </is>
      </c>
      <c r="C119" t="inlineStr">
        <is>
          <t>3Al2Ode</t>
        </is>
      </c>
      <c r="D119" s="2" t="n">
        <v>3675</v>
      </c>
      <c r="E119" s="3" t="n">
        <v>1659.74</v>
      </c>
      <c r="F119" s="3" t="n">
        <v>392.25</v>
      </c>
      <c r="G119" s="3" t="n">
        <v>1267.49</v>
      </c>
      <c r="H119" s="4" t="n">
        <v>7.1</v>
      </c>
      <c r="I119" s="4" t="n">
        <v>23.6</v>
      </c>
      <c r="J119" s="3" t="n">
        <v>6099546.56</v>
      </c>
      <c r="K119" s="3" t="n">
        <v>1441506.13</v>
      </c>
      <c r="L119" s="3" t="n">
        <v>4658040.43</v>
      </c>
    </row>
    <row r="120">
      <c r="A120" t="inlineStr">
        <is>
          <t>ÖZLÜCE</t>
        </is>
      </c>
      <c r="B120" t="inlineStr">
        <is>
          <t>2026-04</t>
        </is>
      </c>
      <c r="C120" t="inlineStr">
        <is>
          <t>DigerKampanya</t>
        </is>
      </c>
      <c r="D120" s="2" t="n">
        <v>6605</v>
      </c>
      <c r="E120" s="3" t="n">
        <v>749.05</v>
      </c>
      <c r="F120" s="3" t="n">
        <v>148.61</v>
      </c>
      <c r="G120" s="3" t="n">
        <v>600.4299999999999</v>
      </c>
      <c r="H120" s="4" t="n">
        <v>4.7</v>
      </c>
      <c r="I120" s="4" t="n">
        <v>19.8</v>
      </c>
      <c r="J120" s="3" t="n">
        <v>4947459.95</v>
      </c>
      <c r="K120" s="3" t="n">
        <v>981597.86</v>
      </c>
      <c r="L120" s="3" t="n">
        <v>3965862.09</v>
      </c>
    </row>
    <row r="121">
      <c r="A121" t="inlineStr">
        <is>
          <t>ÖZLÜCE</t>
        </is>
      </c>
      <c r="B121" t="inlineStr">
        <is>
          <t>2026-04</t>
        </is>
      </c>
      <c r="C121" t="inlineStr">
        <is>
          <t>Kampanyasiz</t>
        </is>
      </c>
      <c r="D121" s="2" t="n">
        <v>5957</v>
      </c>
      <c r="E121" s="3" t="n">
        <v>492.63</v>
      </c>
      <c r="F121" s="3" t="n">
        <v>0</v>
      </c>
      <c r="G121" s="3" t="n">
        <v>492.63</v>
      </c>
      <c r="H121" s="4" t="n">
        <v>2.5</v>
      </c>
      <c r="I121" s="4" t="n">
        <v>0</v>
      </c>
      <c r="J121" s="3" t="n">
        <v>2934626.53</v>
      </c>
      <c r="K121" s="3" t="n">
        <v>0</v>
      </c>
      <c r="L121" s="3" t="n">
        <v>2934626.53</v>
      </c>
    </row>
  </sheetData>
  <printOptions horizontalCentered="1"/>
  <pageMargins left="0.4" right="0.4" top="1" bottom="1" header="0.5" footer="0.5"/>
  <pageSetup paperSize="9"/>
</worksheet>
</file>

<file path=xl/worksheets/sheet2.xml><?xml version="1.0" encoding="utf-8"?>
<worksheet xmlns="http://schemas.openxmlformats.org/spreadsheetml/2006/main">
  <sheetPr>
    <tabColor rgb="0090CAF9"/>
    <outlinePr summaryBelow="1" summaryRight="1"/>
    <pageSetUpPr/>
  </sheetPr>
  <dimension ref="A1:S17"/>
  <sheetViews>
    <sheetView workbookViewId="0">
      <selection activeCell="A1" sqref="A1"/>
    </sheetView>
  </sheetViews>
  <sheetFormatPr baseColWidth="8" defaultRowHeight="15"/>
  <cols>
    <col width="11"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s>
  <sheetData>
    <row r="1">
      <c r="A1" s="5" t="inlineStr">
        <is>
          <t>Ay</t>
        </is>
      </c>
      <c r="B1" s="5" t="inlineStr">
        <is>
          <t>3Al2Öde Ort.Net</t>
        </is>
      </c>
      <c r="C1" s="5" t="inlineStr">
        <is>
          <t>Diğer K. Ort.Net</t>
        </is>
      </c>
      <c r="D1" s="5" t="inlineStr">
        <is>
          <t>Kampanyasız Ort.Net</t>
        </is>
      </c>
      <c r="E1" s="5" t="inlineStr">
        <is>
          <t>3Al2Öde Top.Net</t>
        </is>
      </c>
      <c r="F1" s="5" t="inlineStr">
        <is>
          <t>Diğer K. Top.Net</t>
        </is>
      </c>
      <c r="G1" s="5" t="inlineStr">
        <is>
          <t>Kampanyasız Top.Net</t>
        </is>
      </c>
      <c r="H1" s="5" t="inlineStr">
        <is>
          <t>3Al2Öde Fiş</t>
        </is>
      </c>
      <c r="I1" s="5" t="inlineStr">
        <is>
          <t>Diğer K. Fiş</t>
        </is>
      </c>
      <c r="J1" s="5" t="inlineStr">
        <is>
          <t>Kampanyasız Fiş</t>
        </is>
      </c>
      <c r="K1" s="5" t="inlineStr">
        <is>
          <t>3Al2Öde Ürt.Adet</t>
        </is>
      </c>
      <c r="L1" s="5" t="inlineStr">
        <is>
          <t>Diğer K. Ürt.Adet</t>
        </is>
      </c>
      <c r="M1" s="5" t="inlineStr">
        <is>
          <t>Kampanyasız Ürt.Adet</t>
        </is>
      </c>
      <c r="N1" s="5" t="inlineStr">
        <is>
          <t>3Al2Öde İnd%</t>
        </is>
      </c>
      <c r="O1" s="5" t="inlineStr">
        <is>
          <t>Diğer K. İnd%</t>
        </is>
      </c>
      <c r="P1" s="5" t="inlineStr">
        <is>
          <t>Kampanyasız İnd%</t>
        </is>
      </c>
      <c r="Q1" s="5" t="inlineStr">
        <is>
          <t>3Al2Öde Ort.Brüt</t>
        </is>
      </c>
      <c r="R1" s="5" t="inlineStr">
        <is>
          <t>Diğer K. Ort.Brüt</t>
        </is>
      </c>
      <c r="S1" s="5" t="inlineStr">
        <is>
          <t>Kampanyasız Ort.Brüt</t>
        </is>
      </c>
    </row>
    <row r="2">
      <c r="A2" s="6" t="inlineStr">
        <is>
          <t>2025-07</t>
        </is>
      </c>
      <c r="B2" s="3">
        <f>AVERAGEIFS(Veri!$G$2:$G$121,Veri!$A$2:$A$121,Dashboard!$C$2,Veri!$B$2:$B$121,A2,Veri!$C$2:$C$121,"3Al2Ode")</f>
        <v/>
      </c>
      <c r="C2" s="3">
        <f>AVERAGEIFS(Veri!$G$2:$G$121,Veri!$A$2:$A$121,Dashboard!$C$2,Veri!$B$2:$B$121,A2,Veri!$C$2:$C$121,"DigerKampanya")</f>
        <v/>
      </c>
      <c r="D2" s="3">
        <f>AVERAGEIFS(Veri!$G$2:$G$121,Veri!$A$2:$A$121,Dashboard!$C$2,Veri!$B$2:$B$121,A2,Veri!$C$2:$C$121,"Kampanyasiz")</f>
        <v/>
      </c>
      <c r="E2" s="2">
        <f>SUMIFS(Veri!$L$2:$L$121,Veri!$A$2:$A$121,Dashboard!$C$2,Veri!$B$2:$B$121,A2,Veri!$C$2:$C$121,"3Al2Ode")</f>
        <v/>
      </c>
      <c r="F2" s="2">
        <f>SUMIFS(Veri!$L$2:$L$121,Veri!$A$2:$A$121,Dashboard!$C$2,Veri!$B$2:$B$121,A2,Veri!$C$2:$C$121,"DigerKampanya")</f>
        <v/>
      </c>
      <c r="G2" s="2">
        <f>SUMIFS(Veri!$L$2:$L$121,Veri!$A$2:$A$121,Dashboard!$C$2,Veri!$B$2:$B$121,A2,Veri!$C$2:$C$121,"Kampanyasiz")</f>
        <v/>
      </c>
      <c r="H2" s="2">
        <f>SUMIFS(Veri!$D$2:$D$121,Veri!$A$2:$A$121,Dashboard!$C$2,Veri!$B$2:$B$121,A2,Veri!$C$2:$C$121,"3Al2Ode")</f>
        <v/>
      </c>
      <c r="I2" s="2">
        <f>SUMIFS(Veri!$D$2:$D$121,Veri!$A$2:$A$121,Dashboard!$C$2,Veri!$B$2:$B$121,A2,Veri!$C$2:$C$121,"DigerKampanya")</f>
        <v/>
      </c>
      <c r="J2" s="2">
        <f>SUMIFS(Veri!$D$2:$D$121,Veri!$A$2:$A$121,Dashboard!$C$2,Veri!$B$2:$B$121,A2,Veri!$C$2:$C$121,"Kampanyasiz")</f>
        <v/>
      </c>
      <c r="K2" s="4">
        <f>AVERAGEIFS(Veri!$H$2:$H$121,Veri!$A$2:$A$121,Dashboard!$C$2,Veri!$B$2:$B$121,A2,Veri!$C$2:$C$121,"3Al2Ode")</f>
        <v/>
      </c>
      <c r="L2" s="4">
        <f>AVERAGEIFS(Veri!$H$2:$H$121,Veri!$A$2:$A$121,Dashboard!$C$2,Veri!$B$2:$B$121,A2,Veri!$C$2:$C$121,"DigerKampanya")</f>
        <v/>
      </c>
      <c r="M2" s="4">
        <f>AVERAGEIFS(Veri!$H$2:$H$121,Veri!$A$2:$A$121,Dashboard!$C$2,Veri!$B$2:$B$121,A2,Veri!$C$2:$C$121,"Kampanyasiz")</f>
        <v/>
      </c>
      <c r="N2" s="4">
        <f>IFERROR(AVERAGEIFS(Veri!$I$2:$I$121,Veri!$A$2:$A$121,Dashboard!$C$2,Veri!$B$2:$B$121,A2,Veri!$C$2:$C$121,"3Al2Ode"),0)</f>
        <v/>
      </c>
      <c r="O2" s="4">
        <f>IFERROR(AVERAGEIFS(Veri!$I$2:$I$121,Veri!$A$2:$A$121,Dashboard!$C$2,Veri!$B$2:$B$121,A2,Veri!$C$2:$C$121,"DigerKampanya"),0)</f>
        <v/>
      </c>
      <c r="P2" s="4">
        <f>IFERROR(AVERAGEIFS(Veri!$I$2:$I$121,Veri!$A$2:$A$121,Dashboard!$C$2,Veri!$B$2:$B$121,A2,Veri!$C$2:$C$121,"Kampanyasiz"),0)</f>
        <v/>
      </c>
      <c r="Q2" s="3">
        <f>AVERAGEIFS(Veri!$E$2:$E$121,Veri!$A$2:$A$121,Dashboard!$C$2,Veri!$B$2:$B$121,A2,Veri!$C$2:$C$121,"3Al2Ode")</f>
        <v/>
      </c>
      <c r="R2" s="3">
        <f>AVERAGEIFS(Veri!$E$2:$E$121,Veri!$A$2:$A$121,Dashboard!$C$2,Veri!$B$2:$B$121,A2,Veri!$C$2:$C$121,"DigerKampanya")</f>
        <v/>
      </c>
      <c r="S2" s="3">
        <f>AVERAGEIFS(Veri!$E$2:$E$121,Veri!$A$2:$A$121,Dashboard!$C$2,Veri!$B$2:$B$121,A2,Veri!$C$2:$C$121,"Kampanyasiz")</f>
        <v/>
      </c>
    </row>
    <row r="3">
      <c r="A3" s="6" t="inlineStr">
        <is>
          <t>2025-08</t>
        </is>
      </c>
      <c r="B3" s="3">
        <f>AVERAGEIFS(Veri!$G$2:$G$121,Veri!$A$2:$A$121,Dashboard!$C$2,Veri!$B$2:$B$121,A3,Veri!$C$2:$C$121,"3Al2Ode")</f>
        <v/>
      </c>
      <c r="C3" s="3">
        <f>AVERAGEIFS(Veri!$G$2:$G$121,Veri!$A$2:$A$121,Dashboard!$C$2,Veri!$B$2:$B$121,A3,Veri!$C$2:$C$121,"DigerKampanya")</f>
        <v/>
      </c>
      <c r="D3" s="3">
        <f>AVERAGEIFS(Veri!$G$2:$G$121,Veri!$A$2:$A$121,Dashboard!$C$2,Veri!$B$2:$B$121,A3,Veri!$C$2:$C$121,"Kampanyasiz")</f>
        <v/>
      </c>
      <c r="E3" s="2">
        <f>SUMIFS(Veri!$L$2:$L$121,Veri!$A$2:$A$121,Dashboard!$C$2,Veri!$B$2:$B$121,A3,Veri!$C$2:$C$121,"3Al2Ode")</f>
        <v/>
      </c>
      <c r="F3" s="2">
        <f>SUMIFS(Veri!$L$2:$L$121,Veri!$A$2:$A$121,Dashboard!$C$2,Veri!$B$2:$B$121,A3,Veri!$C$2:$C$121,"DigerKampanya")</f>
        <v/>
      </c>
      <c r="G3" s="2">
        <f>SUMIFS(Veri!$L$2:$L$121,Veri!$A$2:$A$121,Dashboard!$C$2,Veri!$B$2:$B$121,A3,Veri!$C$2:$C$121,"Kampanyasiz")</f>
        <v/>
      </c>
      <c r="H3" s="2">
        <f>SUMIFS(Veri!$D$2:$D$121,Veri!$A$2:$A$121,Dashboard!$C$2,Veri!$B$2:$B$121,A3,Veri!$C$2:$C$121,"3Al2Ode")</f>
        <v/>
      </c>
      <c r="I3" s="2">
        <f>SUMIFS(Veri!$D$2:$D$121,Veri!$A$2:$A$121,Dashboard!$C$2,Veri!$B$2:$B$121,A3,Veri!$C$2:$C$121,"DigerKampanya")</f>
        <v/>
      </c>
      <c r="J3" s="2">
        <f>SUMIFS(Veri!$D$2:$D$121,Veri!$A$2:$A$121,Dashboard!$C$2,Veri!$B$2:$B$121,A3,Veri!$C$2:$C$121,"Kampanyasiz")</f>
        <v/>
      </c>
      <c r="K3" s="4">
        <f>AVERAGEIFS(Veri!$H$2:$H$121,Veri!$A$2:$A$121,Dashboard!$C$2,Veri!$B$2:$B$121,A3,Veri!$C$2:$C$121,"3Al2Ode")</f>
        <v/>
      </c>
      <c r="L3" s="4">
        <f>AVERAGEIFS(Veri!$H$2:$H$121,Veri!$A$2:$A$121,Dashboard!$C$2,Veri!$B$2:$B$121,A3,Veri!$C$2:$C$121,"DigerKampanya")</f>
        <v/>
      </c>
      <c r="M3" s="4">
        <f>AVERAGEIFS(Veri!$H$2:$H$121,Veri!$A$2:$A$121,Dashboard!$C$2,Veri!$B$2:$B$121,A3,Veri!$C$2:$C$121,"Kampanyasiz")</f>
        <v/>
      </c>
      <c r="N3" s="4">
        <f>IFERROR(AVERAGEIFS(Veri!$I$2:$I$121,Veri!$A$2:$A$121,Dashboard!$C$2,Veri!$B$2:$B$121,A3,Veri!$C$2:$C$121,"3Al2Ode"),0)</f>
        <v/>
      </c>
      <c r="O3" s="4">
        <f>IFERROR(AVERAGEIFS(Veri!$I$2:$I$121,Veri!$A$2:$A$121,Dashboard!$C$2,Veri!$B$2:$B$121,A3,Veri!$C$2:$C$121,"DigerKampanya"),0)</f>
        <v/>
      </c>
      <c r="P3" s="4">
        <f>IFERROR(AVERAGEIFS(Veri!$I$2:$I$121,Veri!$A$2:$A$121,Dashboard!$C$2,Veri!$B$2:$B$121,A3,Veri!$C$2:$C$121,"Kampanyasiz"),0)</f>
        <v/>
      </c>
      <c r="Q3" s="3">
        <f>AVERAGEIFS(Veri!$E$2:$E$121,Veri!$A$2:$A$121,Dashboard!$C$2,Veri!$B$2:$B$121,A3,Veri!$C$2:$C$121,"3Al2Ode")</f>
        <v/>
      </c>
      <c r="R3" s="3">
        <f>AVERAGEIFS(Veri!$E$2:$E$121,Veri!$A$2:$A$121,Dashboard!$C$2,Veri!$B$2:$B$121,A3,Veri!$C$2:$C$121,"DigerKampanya")</f>
        <v/>
      </c>
      <c r="S3" s="3">
        <f>AVERAGEIFS(Veri!$E$2:$E$121,Veri!$A$2:$A$121,Dashboard!$C$2,Veri!$B$2:$B$121,A3,Veri!$C$2:$C$121,"Kampanyasiz")</f>
        <v/>
      </c>
    </row>
    <row r="4">
      <c r="A4" s="6" t="inlineStr">
        <is>
          <t>2025-09</t>
        </is>
      </c>
      <c r="B4" s="3">
        <f>AVERAGEIFS(Veri!$G$2:$G$121,Veri!$A$2:$A$121,Dashboard!$C$2,Veri!$B$2:$B$121,A4,Veri!$C$2:$C$121,"3Al2Ode")</f>
        <v/>
      </c>
      <c r="C4" s="3">
        <f>AVERAGEIFS(Veri!$G$2:$G$121,Veri!$A$2:$A$121,Dashboard!$C$2,Veri!$B$2:$B$121,A4,Veri!$C$2:$C$121,"DigerKampanya")</f>
        <v/>
      </c>
      <c r="D4" s="3">
        <f>AVERAGEIFS(Veri!$G$2:$G$121,Veri!$A$2:$A$121,Dashboard!$C$2,Veri!$B$2:$B$121,A4,Veri!$C$2:$C$121,"Kampanyasiz")</f>
        <v/>
      </c>
      <c r="E4" s="2">
        <f>SUMIFS(Veri!$L$2:$L$121,Veri!$A$2:$A$121,Dashboard!$C$2,Veri!$B$2:$B$121,A4,Veri!$C$2:$C$121,"3Al2Ode")</f>
        <v/>
      </c>
      <c r="F4" s="2">
        <f>SUMIFS(Veri!$L$2:$L$121,Veri!$A$2:$A$121,Dashboard!$C$2,Veri!$B$2:$B$121,A4,Veri!$C$2:$C$121,"DigerKampanya")</f>
        <v/>
      </c>
      <c r="G4" s="2">
        <f>SUMIFS(Veri!$L$2:$L$121,Veri!$A$2:$A$121,Dashboard!$C$2,Veri!$B$2:$B$121,A4,Veri!$C$2:$C$121,"Kampanyasiz")</f>
        <v/>
      </c>
      <c r="H4" s="2">
        <f>SUMIFS(Veri!$D$2:$D$121,Veri!$A$2:$A$121,Dashboard!$C$2,Veri!$B$2:$B$121,A4,Veri!$C$2:$C$121,"3Al2Ode")</f>
        <v/>
      </c>
      <c r="I4" s="2">
        <f>SUMIFS(Veri!$D$2:$D$121,Veri!$A$2:$A$121,Dashboard!$C$2,Veri!$B$2:$B$121,A4,Veri!$C$2:$C$121,"DigerKampanya")</f>
        <v/>
      </c>
      <c r="J4" s="2">
        <f>SUMIFS(Veri!$D$2:$D$121,Veri!$A$2:$A$121,Dashboard!$C$2,Veri!$B$2:$B$121,A4,Veri!$C$2:$C$121,"Kampanyasiz")</f>
        <v/>
      </c>
      <c r="K4" s="4">
        <f>AVERAGEIFS(Veri!$H$2:$H$121,Veri!$A$2:$A$121,Dashboard!$C$2,Veri!$B$2:$B$121,A4,Veri!$C$2:$C$121,"3Al2Ode")</f>
        <v/>
      </c>
      <c r="L4" s="4">
        <f>AVERAGEIFS(Veri!$H$2:$H$121,Veri!$A$2:$A$121,Dashboard!$C$2,Veri!$B$2:$B$121,A4,Veri!$C$2:$C$121,"DigerKampanya")</f>
        <v/>
      </c>
      <c r="M4" s="4">
        <f>AVERAGEIFS(Veri!$H$2:$H$121,Veri!$A$2:$A$121,Dashboard!$C$2,Veri!$B$2:$B$121,A4,Veri!$C$2:$C$121,"Kampanyasiz")</f>
        <v/>
      </c>
      <c r="N4" s="4">
        <f>IFERROR(AVERAGEIFS(Veri!$I$2:$I$121,Veri!$A$2:$A$121,Dashboard!$C$2,Veri!$B$2:$B$121,A4,Veri!$C$2:$C$121,"3Al2Ode"),0)</f>
        <v/>
      </c>
      <c r="O4" s="4">
        <f>IFERROR(AVERAGEIFS(Veri!$I$2:$I$121,Veri!$A$2:$A$121,Dashboard!$C$2,Veri!$B$2:$B$121,A4,Veri!$C$2:$C$121,"DigerKampanya"),0)</f>
        <v/>
      </c>
      <c r="P4" s="4">
        <f>IFERROR(AVERAGEIFS(Veri!$I$2:$I$121,Veri!$A$2:$A$121,Dashboard!$C$2,Veri!$B$2:$B$121,A4,Veri!$C$2:$C$121,"Kampanyasiz"),0)</f>
        <v/>
      </c>
      <c r="Q4" s="3">
        <f>AVERAGEIFS(Veri!$E$2:$E$121,Veri!$A$2:$A$121,Dashboard!$C$2,Veri!$B$2:$B$121,A4,Veri!$C$2:$C$121,"3Al2Ode")</f>
        <v/>
      </c>
      <c r="R4" s="3">
        <f>AVERAGEIFS(Veri!$E$2:$E$121,Veri!$A$2:$A$121,Dashboard!$C$2,Veri!$B$2:$B$121,A4,Veri!$C$2:$C$121,"DigerKampanya")</f>
        <v/>
      </c>
      <c r="S4" s="3">
        <f>AVERAGEIFS(Veri!$E$2:$E$121,Veri!$A$2:$A$121,Dashboard!$C$2,Veri!$B$2:$B$121,A4,Veri!$C$2:$C$121,"Kampanyasiz")</f>
        <v/>
      </c>
    </row>
    <row r="5">
      <c r="A5" s="6" t="inlineStr">
        <is>
          <t>2025-10</t>
        </is>
      </c>
      <c r="B5" s="3">
        <f>AVERAGEIFS(Veri!$G$2:$G$121,Veri!$A$2:$A$121,Dashboard!$C$2,Veri!$B$2:$B$121,A5,Veri!$C$2:$C$121,"3Al2Ode")</f>
        <v/>
      </c>
      <c r="C5" s="3">
        <f>AVERAGEIFS(Veri!$G$2:$G$121,Veri!$A$2:$A$121,Dashboard!$C$2,Veri!$B$2:$B$121,A5,Veri!$C$2:$C$121,"DigerKampanya")</f>
        <v/>
      </c>
      <c r="D5" s="3">
        <f>AVERAGEIFS(Veri!$G$2:$G$121,Veri!$A$2:$A$121,Dashboard!$C$2,Veri!$B$2:$B$121,A5,Veri!$C$2:$C$121,"Kampanyasiz")</f>
        <v/>
      </c>
      <c r="E5" s="2">
        <f>SUMIFS(Veri!$L$2:$L$121,Veri!$A$2:$A$121,Dashboard!$C$2,Veri!$B$2:$B$121,A5,Veri!$C$2:$C$121,"3Al2Ode")</f>
        <v/>
      </c>
      <c r="F5" s="2">
        <f>SUMIFS(Veri!$L$2:$L$121,Veri!$A$2:$A$121,Dashboard!$C$2,Veri!$B$2:$B$121,A5,Veri!$C$2:$C$121,"DigerKampanya")</f>
        <v/>
      </c>
      <c r="G5" s="2">
        <f>SUMIFS(Veri!$L$2:$L$121,Veri!$A$2:$A$121,Dashboard!$C$2,Veri!$B$2:$B$121,A5,Veri!$C$2:$C$121,"Kampanyasiz")</f>
        <v/>
      </c>
      <c r="H5" s="2">
        <f>SUMIFS(Veri!$D$2:$D$121,Veri!$A$2:$A$121,Dashboard!$C$2,Veri!$B$2:$B$121,A5,Veri!$C$2:$C$121,"3Al2Ode")</f>
        <v/>
      </c>
      <c r="I5" s="2">
        <f>SUMIFS(Veri!$D$2:$D$121,Veri!$A$2:$A$121,Dashboard!$C$2,Veri!$B$2:$B$121,A5,Veri!$C$2:$C$121,"DigerKampanya")</f>
        <v/>
      </c>
      <c r="J5" s="2">
        <f>SUMIFS(Veri!$D$2:$D$121,Veri!$A$2:$A$121,Dashboard!$C$2,Veri!$B$2:$B$121,A5,Veri!$C$2:$C$121,"Kampanyasiz")</f>
        <v/>
      </c>
      <c r="K5" s="4">
        <f>AVERAGEIFS(Veri!$H$2:$H$121,Veri!$A$2:$A$121,Dashboard!$C$2,Veri!$B$2:$B$121,A5,Veri!$C$2:$C$121,"3Al2Ode")</f>
        <v/>
      </c>
      <c r="L5" s="4">
        <f>AVERAGEIFS(Veri!$H$2:$H$121,Veri!$A$2:$A$121,Dashboard!$C$2,Veri!$B$2:$B$121,A5,Veri!$C$2:$C$121,"DigerKampanya")</f>
        <v/>
      </c>
      <c r="M5" s="4">
        <f>AVERAGEIFS(Veri!$H$2:$H$121,Veri!$A$2:$A$121,Dashboard!$C$2,Veri!$B$2:$B$121,A5,Veri!$C$2:$C$121,"Kampanyasiz")</f>
        <v/>
      </c>
      <c r="N5" s="4">
        <f>IFERROR(AVERAGEIFS(Veri!$I$2:$I$121,Veri!$A$2:$A$121,Dashboard!$C$2,Veri!$B$2:$B$121,A5,Veri!$C$2:$C$121,"3Al2Ode"),0)</f>
        <v/>
      </c>
      <c r="O5" s="4">
        <f>IFERROR(AVERAGEIFS(Veri!$I$2:$I$121,Veri!$A$2:$A$121,Dashboard!$C$2,Veri!$B$2:$B$121,A5,Veri!$C$2:$C$121,"DigerKampanya"),0)</f>
        <v/>
      </c>
      <c r="P5" s="4">
        <f>IFERROR(AVERAGEIFS(Veri!$I$2:$I$121,Veri!$A$2:$A$121,Dashboard!$C$2,Veri!$B$2:$B$121,A5,Veri!$C$2:$C$121,"Kampanyasiz"),0)</f>
        <v/>
      </c>
      <c r="Q5" s="3">
        <f>AVERAGEIFS(Veri!$E$2:$E$121,Veri!$A$2:$A$121,Dashboard!$C$2,Veri!$B$2:$B$121,A5,Veri!$C$2:$C$121,"3Al2Ode")</f>
        <v/>
      </c>
      <c r="R5" s="3">
        <f>AVERAGEIFS(Veri!$E$2:$E$121,Veri!$A$2:$A$121,Dashboard!$C$2,Veri!$B$2:$B$121,A5,Veri!$C$2:$C$121,"DigerKampanya")</f>
        <v/>
      </c>
      <c r="S5" s="3">
        <f>AVERAGEIFS(Veri!$E$2:$E$121,Veri!$A$2:$A$121,Dashboard!$C$2,Veri!$B$2:$B$121,A5,Veri!$C$2:$C$121,"Kampanyasiz")</f>
        <v/>
      </c>
    </row>
    <row r="6">
      <c r="A6" s="6" t="inlineStr">
        <is>
          <t>2025-11</t>
        </is>
      </c>
      <c r="B6" s="3">
        <f>AVERAGEIFS(Veri!$G$2:$G$121,Veri!$A$2:$A$121,Dashboard!$C$2,Veri!$B$2:$B$121,A6,Veri!$C$2:$C$121,"3Al2Ode")</f>
        <v/>
      </c>
      <c r="C6" s="3">
        <f>AVERAGEIFS(Veri!$G$2:$G$121,Veri!$A$2:$A$121,Dashboard!$C$2,Veri!$B$2:$B$121,A6,Veri!$C$2:$C$121,"DigerKampanya")</f>
        <v/>
      </c>
      <c r="D6" s="3">
        <f>AVERAGEIFS(Veri!$G$2:$G$121,Veri!$A$2:$A$121,Dashboard!$C$2,Veri!$B$2:$B$121,A6,Veri!$C$2:$C$121,"Kampanyasiz")</f>
        <v/>
      </c>
      <c r="E6" s="2">
        <f>SUMIFS(Veri!$L$2:$L$121,Veri!$A$2:$A$121,Dashboard!$C$2,Veri!$B$2:$B$121,A6,Veri!$C$2:$C$121,"3Al2Ode")</f>
        <v/>
      </c>
      <c r="F6" s="2">
        <f>SUMIFS(Veri!$L$2:$L$121,Veri!$A$2:$A$121,Dashboard!$C$2,Veri!$B$2:$B$121,A6,Veri!$C$2:$C$121,"DigerKampanya")</f>
        <v/>
      </c>
      <c r="G6" s="2">
        <f>SUMIFS(Veri!$L$2:$L$121,Veri!$A$2:$A$121,Dashboard!$C$2,Veri!$B$2:$B$121,A6,Veri!$C$2:$C$121,"Kampanyasiz")</f>
        <v/>
      </c>
      <c r="H6" s="2">
        <f>SUMIFS(Veri!$D$2:$D$121,Veri!$A$2:$A$121,Dashboard!$C$2,Veri!$B$2:$B$121,A6,Veri!$C$2:$C$121,"3Al2Ode")</f>
        <v/>
      </c>
      <c r="I6" s="2">
        <f>SUMIFS(Veri!$D$2:$D$121,Veri!$A$2:$A$121,Dashboard!$C$2,Veri!$B$2:$B$121,A6,Veri!$C$2:$C$121,"DigerKampanya")</f>
        <v/>
      </c>
      <c r="J6" s="2">
        <f>SUMIFS(Veri!$D$2:$D$121,Veri!$A$2:$A$121,Dashboard!$C$2,Veri!$B$2:$B$121,A6,Veri!$C$2:$C$121,"Kampanyasiz")</f>
        <v/>
      </c>
      <c r="K6" s="4">
        <f>AVERAGEIFS(Veri!$H$2:$H$121,Veri!$A$2:$A$121,Dashboard!$C$2,Veri!$B$2:$B$121,A6,Veri!$C$2:$C$121,"3Al2Ode")</f>
        <v/>
      </c>
      <c r="L6" s="4">
        <f>AVERAGEIFS(Veri!$H$2:$H$121,Veri!$A$2:$A$121,Dashboard!$C$2,Veri!$B$2:$B$121,A6,Veri!$C$2:$C$121,"DigerKampanya")</f>
        <v/>
      </c>
      <c r="M6" s="4">
        <f>AVERAGEIFS(Veri!$H$2:$H$121,Veri!$A$2:$A$121,Dashboard!$C$2,Veri!$B$2:$B$121,A6,Veri!$C$2:$C$121,"Kampanyasiz")</f>
        <v/>
      </c>
      <c r="N6" s="4">
        <f>IFERROR(AVERAGEIFS(Veri!$I$2:$I$121,Veri!$A$2:$A$121,Dashboard!$C$2,Veri!$B$2:$B$121,A6,Veri!$C$2:$C$121,"3Al2Ode"),0)</f>
        <v/>
      </c>
      <c r="O6" s="4">
        <f>IFERROR(AVERAGEIFS(Veri!$I$2:$I$121,Veri!$A$2:$A$121,Dashboard!$C$2,Veri!$B$2:$B$121,A6,Veri!$C$2:$C$121,"DigerKampanya"),0)</f>
        <v/>
      </c>
      <c r="P6" s="4">
        <f>IFERROR(AVERAGEIFS(Veri!$I$2:$I$121,Veri!$A$2:$A$121,Dashboard!$C$2,Veri!$B$2:$B$121,A6,Veri!$C$2:$C$121,"Kampanyasiz"),0)</f>
        <v/>
      </c>
      <c r="Q6" s="3">
        <f>AVERAGEIFS(Veri!$E$2:$E$121,Veri!$A$2:$A$121,Dashboard!$C$2,Veri!$B$2:$B$121,A6,Veri!$C$2:$C$121,"3Al2Ode")</f>
        <v/>
      </c>
      <c r="R6" s="3">
        <f>AVERAGEIFS(Veri!$E$2:$E$121,Veri!$A$2:$A$121,Dashboard!$C$2,Veri!$B$2:$B$121,A6,Veri!$C$2:$C$121,"DigerKampanya")</f>
        <v/>
      </c>
      <c r="S6" s="3">
        <f>AVERAGEIFS(Veri!$E$2:$E$121,Veri!$A$2:$A$121,Dashboard!$C$2,Veri!$B$2:$B$121,A6,Veri!$C$2:$C$121,"Kampanyasiz")</f>
        <v/>
      </c>
    </row>
    <row r="7">
      <c r="A7" s="6" t="inlineStr">
        <is>
          <t>2025-12</t>
        </is>
      </c>
      <c r="B7" s="3">
        <f>AVERAGEIFS(Veri!$G$2:$G$121,Veri!$A$2:$A$121,Dashboard!$C$2,Veri!$B$2:$B$121,A7,Veri!$C$2:$C$121,"3Al2Ode")</f>
        <v/>
      </c>
      <c r="C7" s="3">
        <f>AVERAGEIFS(Veri!$G$2:$G$121,Veri!$A$2:$A$121,Dashboard!$C$2,Veri!$B$2:$B$121,A7,Veri!$C$2:$C$121,"DigerKampanya")</f>
        <v/>
      </c>
      <c r="D7" s="3">
        <f>AVERAGEIFS(Veri!$G$2:$G$121,Veri!$A$2:$A$121,Dashboard!$C$2,Veri!$B$2:$B$121,A7,Veri!$C$2:$C$121,"Kampanyasiz")</f>
        <v/>
      </c>
      <c r="E7" s="2">
        <f>SUMIFS(Veri!$L$2:$L$121,Veri!$A$2:$A$121,Dashboard!$C$2,Veri!$B$2:$B$121,A7,Veri!$C$2:$C$121,"3Al2Ode")</f>
        <v/>
      </c>
      <c r="F7" s="2">
        <f>SUMIFS(Veri!$L$2:$L$121,Veri!$A$2:$A$121,Dashboard!$C$2,Veri!$B$2:$B$121,A7,Veri!$C$2:$C$121,"DigerKampanya")</f>
        <v/>
      </c>
      <c r="G7" s="2">
        <f>SUMIFS(Veri!$L$2:$L$121,Veri!$A$2:$A$121,Dashboard!$C$2,Veri!$B$2:$B$121,A7,Veri!$C$2:$C$121,"Kampanyasiz")</f>
        <v/>
      </c>
      <c r="H7" s="2">
        <f>SUMIFS(Veri!$D$2:$D$121,Veri!$A$2:$A$121,Dashboard!$C$2,Veri!$B$2:$B$121,A7,Veri!$C$2:$C$121,"3Al2Ode")</f>
        <v/>
      </c>
      <c r="I7" s="2">
        <f>SUMIFS(Veri!$D$2:$D$121,Veri!$A$2:$A$121,Dashboard!$C$2,Veri!$B$2:$B$121,A7,Veri!$C$2:$C$121,"DigerKampanya")</f>
        <v/>
      </c>
      <c r="J7" s="2">
        <f>SUMIFS(Veri!$D$2:$D$121,Veri!$A$2:$A$121,Dashboard!$C$2,Veri!$B$2:$B$121,A7,Veri!$C$2:$C$121,"Kampanyasiz")</f>
        <v/>
      </c>
      <c r="K7" s="4">
        <f>AVERAGEIFS(Veri!$H$2:$H$121,Veri!$A$2:$A$121,Dashboard!$C$2,Veri!$B$2:$B$121,A7,Veri!$C$2:$C$121,"3Al2Ode")</f>
        <v/>
      </c>
      <c r="L7" s="4">
        <f>AVERAGEIFS(Veri!$H$2:$H$121,Veri!$A$2:$A$121,Dashboard!$C$2,Veri!$B$2:$B$121,A7,Veri!$C$2:$C$121,"DigerKampanya")</f>
        <v/>
      </c>
      <c r="M7" s="4">
        <f>AVERAGEIFS(Veri!$H$2:$H$121,Veri!$A$2:$A$121,Dashboard!$C$2,Veri!$B$2:$B$121,A7,Veri!$C$2:$C$121,"Kampanyasiz")</f>
        <v/>
      </c>
      <c r="N7" s="4">
        <f>IFERROR(AVERAGEIFS(Veri!$I$2:$I$121,Veri!$A$2:$A$121,Dashboard!$C$2,Veri!$B$2:$B$121,A7,Veri!$C$2:$C$121,"3Al2Ode"),0)</f>
        <v/>
      </c>
      <c r="O7" s="4">
        <f>IFERROR(AVERAGEIFS(Veri!$I$2:$I$121,Veri!$A$2:$A$121,Dashboard!$C$2,Veri!$B$2:$B$121,A7,Veri!$C$2:$C$121,"DigerKampanya"),0)</f>
        <v/>
      </c>
      <c r="P7" s="4">
        <f>IFERROR(AVERAGEIFS(Veri!$I$2:$I$121,Veri!$A$2:$A$121,Dashboard!$C$2,Veri!$B$2:$B$121,A7,Veri!$C$2:$C$121,"Kampanyasiz"),0)</f>
        <v/>
      </c>
      <c r="Q7" s="3">
        <f>AVERAGEIFS(Veri!$E$2:$E$121,Veri!$A$2:$A$121,Dashboard!$C$2,Veri!$B$2:$B$121,A7,Veri!$C$2:$C$121,"3Al2Ode")</f>
        <v/>
      </c>
      <c r="R7" s="3">
        <f>AVERAGEIFS(Veri!$E$2:$E$121,Veri!$A$2:$A$121,Dashboard!$C$2,Veri!$B$2:$B$121,A7,Veri!$C$2:$C$121,"DigerKampanya")</f>
        <v/>
      </c>
      <c r="S7" s="3">
        <f>AVERAGEIFS(Veri!$E$2:$E$121,Veri!$A$2:$A$121,Dashboard!$C$2,Veri!$B$2:$B$121,A7,Veri!$C$2:$C$121,"Kampanyasiz")</f>
        <v/>
      </c>
    </row>
    <row r="8">
      <c r="A8" s="6" t="inlineStr">
        <is>
          <t>2026-01</t>
        </is>
      </c>
      <c r="B8" s="3">
        <f>AVERAGEIFS(Veri!$G$2:$G$121,Veri!$A$2:$A$121,Dashboard!$C$2,Veri!$B$2:$B$121,A8,Veri!$C$2:$C$121,"3Al2Ode")</f>
        <v/>
      </c>
      <c r="C8" s="3">
        <f>AVERAGEIFS(Veri!$G$2:$G$121,Veri!$A$2:$A$121,Dashboard!$C$2,Veri!$B$2:$B$121,A8,Veri!$C$2:$C$121,"DigerKampanya")</f>
        <v/>
      </c>
      <c r="D8" s="3">
        <f>AVERAGEIFS(Veri!$G$2:$G$121,Veri!$A$2:$A$121,Dashboard!$C$2,Veri!$B$2:$B$121,A8,Veri!$C$2:$C$121,"Kampanyasiz")</f>
        <v/>
      </c>
      <c r="E8" s="2">
        <f>SUMIFS(Veri!$L$2:$L$121,Veri!$A$2:$A$121,Dashboard!$C$2,Veri!$B$2:$B$121,A8,Veri!$C$2:$C$121,"3Al2Ode")</f>
        <v/>
      </c>
      <c r="F8" s="2">
        <f>SUMIFS(Veri!$L$2:$L$121,Veri!$A$2:$A$121,Dashboard!$C$2,Veri!$B$2:$B$121,A8,Veri!$C$2:$C$121,"DigerKampanya")</f>
        <v/>
      </c>
      <c r="G8" s="2">
        <f>SUMIFS(Veri!$L$2:$L$121,Veri!$A$2:$A$121,Dashboard!$C$2,Veri!$B$2:$B$121,A8,Veri!$C$2:$C$121,"Kampanyasiz")</f>
        <v/>
      </c>
      <c r="H8" s="2">
        <f>SUMIFS(Veri!$D$2:$D$121,Veri!$A$2:$A$121,Dashboard!$C$2,Veri!$B$2:$B$121,A8,Veri!$C$2:$C$121,"3Al2Ode")</f>
        <v/>
      </c>
      <c r="I8" s="2">
        <f>SUMIFS(Veri!$D$2:$D$121,Veri!$A$2:$A$121,Dashboard!$C$2,Veri!$B$2:$B$121,A8,Veri!$C$2:$C$121,"DigerKampanya")</f>
        <v/>
      </c>
      <c r="J8" s="2">
        <f>SUMIFS(Veri!$D$2:$D$121,Veri!$A$2:$A$121,Dashboard!$C$2,Veri!$B$2:$B$121,A8,Veri!$C$2:$C$121,"Kampanyasiz")</f>
        <v/>
      </c>
      <c r="K8" s="4">
        <f>AVERAGEIFS(Veri!$H$2:$H$121,Veri!$A$2:$A$121,Dashboard!$C$2,Veri!$B$2:$B$121,A8,Veri!$C$2:$C$121,"3Al2Ode")</f>
        <v/>
      </c>
      <c r="L8" s="4">
        <f>AVERAGEIFS(Veri!$H$2:$H$121,Veri!$A$2:$A$121,Dashboard!$C$2,Veri!$B$2:$B$121,A8,Veri!$C$2:$C$121,"DigerKampanya")</f>
        <v/>
      </c>
      <c r="M8" s="4">
        <f>AVERAGEIFS(Veri!$H$2:$H$121,Veri!$A$2:$A$121,Dashboard!$C$2,Veri!$B$2:$B$121,A8,Veri!$C$2:$C$121,"Kampanyasiz")</f>
        <v/>
      </c>
      <c r="N8" s="4">
        <f>IFERROR(AVERAGEIFS(Veri!$I$2:$I$121,Veri!$A$2:$A$121,Dashboard!$C$2,Veri!$B$2:$B$121,A8,Veri!$C$2:$C$121,"3Al2Ode"),0)</f>
        <v/>
      </c>
      <c r="O8" s="4">
        <f>IFERROR(AVERAGEIFS(Veri!$I$2:$I$121,Veri!$A$2:$A$121,Dashboard!$C$2,Veri!$B$2:$B$121,A8,Veri!$C$2:$C$121,"DigerKampanya"),0)</f>
        <v/>
      </c>
      <c r="P8" s="4">
        <f>IFERROR(AVERAGEIFS(Veri!$I$2:$I$121,Veri!$A$2:$A$121,Dashboard!$C$2,Veri!$B$2:$B$121,A8,Veri!$C$2:$C$121,"Kampanyasiz"),0)</f>
        <v/>
      </c>
      <c r="Q8" s="3">
        <f>AVERAGEIFS(Veri!$E$2:$E$121,Veri!$A$2:$A$121,Dashboard!$C$2,Veri!$B$2:$B$121,A8,Veri!$C$2:$C$121,"3Al2Ode")</f>
        <v/>
      </c>
      <c r="R8" s="3">
        <f>AVERAGEIFS(Veri!$E$2:$E$121,Veri!$A$2:$A$121,Dashboard!$C$2,Veri!$B$2:$B$121,A8,Veri!$C$2:$C$121,"DigerKampanya")</f>
        <v/>
      </c>
      <c r="S8" s="3">
        <f>AVERAGEIFS(Veri!$E$2:$E$121,Veri!$A$2:$A$121,Dashboard!$C$2,Veri!$B$2:$B$121,A8,Veri!$C$2:$C$121,"Kampanyasiz")</f>
        <v/>
      </c>
    </row>
    <row r="9">
      <c r="A9" s="6" t="inlineStr">
        <is>
          <t>2026-02</t>
        </is>
      </c>
      <c r="B9" s="3">
        <f>AVERAGEIFS(Veri!$G$2:$G$121,Veri!$A$2:$A$121,Dashboard!$C$2,Veri!$B$2:$B$121,A9,Veri!$C$2:$C$121,"3Al2Ode")</f>
        <v/>
      </c>
      <c r="C9" s="3">
        <f>AVERAGEIFS(Veri!$G$2:$G$121,Veri!$A$2:$A$121,Dashboard!$C$2,Veri!$B$2:$B$121,A9,Veri!$C$2:$C$121,"DigerKampanya")</f>
        <v/>
      </c>
      <c r="D9" s="3">
        <f>AVERAGEIFS(Veri!$G$2:$G$121,Veri!$A$2:$A$121,Dashboard!$C$2,Veri!$B$2:$B$121,A9,Veri!$C$2:$C$121,"Kampanyasiz")</f>
        <v/>
      </c>
      <c r="E9" s="2">
        <f>SUMIFS(Veri!$L$2:$L$121,Veri!$A$2:$A$121,Dashboard!$C$2,Veri!$B$2:$B$121,A9,Veri!$C$2:$C$121,"3Al2Ode")</f>
        <v/>
      </c>
      <c r="F9" s="2">
        <f>SUMIFS(Veri!$L$2:$L$121,Veri!$A$2:$A$121,Dashboard!$C$2,Veri!$B$2:$B$121,A9,Veri!$C$2:$C$121,"DigerKampanya")</f>
        <v/>
      </c>
      <c r="G9" s="2">
        <f>SUMIFS(Veri!$L$2:$L$121,Veri!$A$2:$A$121,Dashboard!$C$2,Veri!$B$2:$B$121,A9,Veri!$C$2:$C$121,"Kampanyasiz")</f>
        <v/>
      </c>
      <c r="H9" s="2">
        <f>SUMIFS(Veri!$D$2:$D$121,Veri!$A$2:$A$121,Dashboard!$C$2,Veri!$B$2:$B$121,A9,Veri!$C$2:$C$121,"3Al2Ode")</f>
        <v/>
      </c>
      <c r="I9" s="2">
        <f>SUMIFS(Veri!$D$2:$D$121,Veri!$A$2:$A$121,Dashboard!$C$2,Veri!$B$2:$B$121,A9,Veri!$C$2:$C$121,"DigerKampanya")</f>
        <v/>
      </c>
      <c r="J9" s="2">
        <f>SUMIFS(Veri!$D$2:$D$121,Veri!$A$2:$A$121,Dashboard!$C$2,Veri!$B$2:$B$121,A9,Veri!$C$2:$C$121,"Kampanyasiz")</f>
        <v/>
      </c>
      <c r="K9" s="4">
        <f>AVERAGEIFS(Veri!$H$2:$H$121,Veri!$A$2:$A$121,Dashboard!$C$2,Veri!$B$2:$B$121,A9,Veri!$C$2:$C$121,"3Al2Ode")</f>
        <v/>
      </c>
      <c r="L9" s="4">
        <f>AVERAGEIFS(Veri!$H$2:$H$121,Veri!$A$2:$A$121,Dashboard!$C$2,Veri!$B$2:$B$121,A9,Veri!$C$2:$C$121,"DigerKampanya")</f>
        <v/>
      </c>
      <c r="M9" s="4">
        <f>AVERAGEIFS(Veri!$H$2:$H$121,Veri!$A$2:$A$121,Dashboard!$C$2,Veri!$B$2:$B$121,A9,Veri!$C$2:$C$121,"Kampanyasiz")</f>
        <v/>
      </c>
      <c r="N9" s="4">
        <f>IFERROR(AVERAGEIFS(Veri!$I$2:$I$121,Veri!$A$2:$A$121,Dashboard!$C$2,Veri!$B$2:$B$121,A9,Veri!$C$2:$C$121,"3Al2Ode"),0)</f>
        <v/>
      </c>
      <c r="O9" s="4">
        <f>IFERROR(AVERAGEIFS(Veri!$I$2:$I$121,Veri!$A$2:$A$121,Dashboard!$C$2,Veri!$B$2:$B$121,A9,Veri!$C$2:$C$121,"DigerKampanya"),0)</f>
        <v/>
      </c>
      <c r="P9" s="4">
        <f>IFERROR(AVERAGEIFS(Veri!$I$2:$I$121,Veri!$A$2:$A$121,Dashboard!$C$2,Veri!$B$2:$B$121,A9,Veri!$C$2:$C$121,"Kampanyasiz"),0)</f>
        <v/>
      </c>
      <c r="Q9" s="3">
        <f>AVERAGEIFS(Veri!$E$2:$E$121,Veri!$A$2:$A$121,Dashboard!$C$2,Veri!$B$2:$B$121,A9,Veri!$C$2:$C$121,"3Al2Ode")</f>
        <v/>
      </c>
      <c r="R9" s="3">
        <f>AVERAGEIFS(Veri!$E$2:$E$121,Veri!$A$2:$A$121,Dashboard!$C$2,Veri!$B$2:$B$121,A9,Veri!$C$2:$C$121,"DigerKampanya")</f>
        <v/>
      </c>
      <c r="S9" s="3">
        <f>AVERAGEIFS(Veri!$E$2:$E$121,Veri!$A$2:$A$121,Dashboard!$C$2,Veri!$B$2:$B$121,A9,Veri!$C$2:$C$121,"Kampanyasiz")</f>
        <v/>
      </c>
    </row>
    <row r="10">
      <c r="A10" s="6" t="inlineStr">
        <is>
          <t>2026-03</t>
        </is>
      </c>
      <c r="B10" s="3">
        <f>AVERAGEIFS(Veri!$G$2:$G$121,Veri!$A$2:$A$121,Dashboard!$C$2,Veri!$B$2:$B$121,A10,Veri!$C$2:$C$121,"3Al2Ode")</f>
        <v/>
      </c>
      <c r="C10" s="3">
        <f>AVERAGEIFS(Veri!$G$2:$G$121,Veri!$A$2:$A$121,Dashboard!$C$2,Veri!$B$2:$B$121,A10,Veri!$C$2:$C$121,"DigerKampanya")</f>
        <v/>
      </c>
      <c r="D10" s="3">
        <f>AVERAGEIFS(Veri!$G$2:$G$121,Veri!$A$2:$A$121,Dashboard!$C$2,Veri!$B$2:$B$121,A10,Veri!$C$2:$C$121,"Kampanyasiz")</f>
        <v/>
      </c>
      <c r="E10" s="2">
        <f>SUMIFS(Veri!$L$2:$L$121,Veri!$A$2:$A$121,Dashboard!$C$2,Veri!$B$2:$B$121,A10,Veri!$C$2:$C$121,"3Al2Ode")</f>
        <v/>
      </c>
      <c r="F10" s="2">
        <f>SUMIFS(Veri!$L$2:$L$121,Veri!$A$2:$A$121,Dashboard!$C$2,Veri!$B$2:$B$121,A10,Veri!$C$2:$C$121,"DigerKampanya")</f>
        <v/>
      </c>
      <c r="G10" s="2">
        <f>SUMIFS(Veri!$L$2:$L$121,Veri!$A$2:$A$121,Dashboard!$C$2,Veri!$B$2:$B$121,A10,Veri!$C$2:$C$121,"Kampanyasiz")</f>
        <v/>
      </c>
      <c r="H10" s="2">
        <f>SUMIFS(Veri!$D$2:$D$121,Veri!$A$2:$A$121,Dashboard!$C$2,Veri!$B$2:$B$121,A10,Veri!$C$2:$C$121,"3Al2Ode")</f>
        <v/>
      </c>
      <c r="I10" s="2">
        <f>SUMIFS(Veri!$D$2:$D$121,Veri!$A$2:$A$121,Dashboard!$C$2,Veri!$B$2:$B$121,A10,Veri!$C$2:$C$121,"DigerKampanya")</f>
        <v/>
      </c>
      <c r="J10" s="2">
        <f>SUMIFS(Veri!$D$2:$D$121,Veri!$A$2:$A$121,Dashboard!$C$2,Veri!$B$2:$B$121,A10,Veri!$C$2:$C$121,"Kampanyasiz")</f>
        <v/>
      </c>
      <c r="K10" s="4">
        <f>AVERAGEIFS(Veri!$H$2:$H$121,Veri!$A$2:$A$121,Dashboard!$C$2,Veri!$B$2:$B$121,A10,Veri!$C$2:$C$121,"3Al2Ode")</f>
        <v/>
      </c>
      <c r="L10" s="4">
        <f>AVERAGEIFS(Veri!$H$2:$H$121,Veri!$A$2:$A$121,Dashboard!$C$2,Veri!$B$2:$B$121,A10,Veri!$C$2:$C$121,"DigerKampanya")</f>
        <v/>
      </c>
      <c r="M10" s="4">
        <f>AVERAGEIFS(Veri!$H$2:$H$121,Veri!$A$2:$A$121,Dashboard!$C$2,Veri!$B$2:$B$121,A10,Veri!$C$2:$C$121,"Kampanyasiz")</f>
        <v/>
      </c>
      <c r="N10" s="4">
        <f>IFERROR(AVERAGEIFS(Veri!$I$2:$I$121,Veri!$A$2:$A$121,Dashboard!$C$2,Veri!$B$2:$B$121,A10,Veri!$C$2:$C$121,"3Al2Ode"),0)</f>
        <v/>
      </c>
      <c r="O10" s="4">
        <f>IFERROR(AVERAGEIFS(Veri!$I$2:$I$121,Veri!$A$2:$A$121,Dashboard!$C$2,Veri!$B$2:$B$121,A10,Veri!$C$2:$C$121,"DigerKampanya"),0)</f>
        <v/>
      </c>
      <c r="P10" s="4">
        <f>IFERROR(AVERAGEIFS(Veri!$I$2:$I$121,Veri!$A$2:$A$121,Dashboard!$C$2,Veri!$B$2:$B$121,A10,Veri!$C$2:$C$121,"Kampanyasiz"),0)</f>
        <v/>
      </c>
      <c r="Q10" s="3">
        <f>AVERAGEIFS(Veri!$E$2:$E$121,Veri!$A$2:$A$121,Dashboard!$C$2,Veri!$B$2:$B$121,A10,Veri!$C$2:$C$121,"3Al2Ode")</f>
        <v/>
      </c>
      <c r="R10" s="3">
        <f>AVERAGEIFS(Veri!$E$2:$E$121,Veri!$A$2:$A$121,Dashboard!$C$2,Veri!$B$2:$B$121,A10,Veri!$C$2:$C$121,"DigerKampanya")</f>
        <v/>
      </c>
      <c r="S10" s="3">
        <f>AVERAGEIFS(Veri!$E$2:$E$121,Veri!$A$2:$A$121,Dashboard!$C$2,Veri!$B$2:$B$121,A10,Veri!$C$2:$C$121,"Kampanyasiz")</f>
        <v/>
      </c>
    </row>
    <row r="11">
      <c r="A11" s="6" t="inlineStr">
        <is>
          <t>2026-04</t>
        </is>
      </c>
      <c r="B11" s="3">
        <f>AVERAGEIFS(Veri!$G$2:$G$121,Veri!$A$2:$A$121,Dashboard!$C$2,Veri!$B$2:$B$121,A11,Veri!$C$2:$C$121,"3Al2Ode")</f>
        <v/>
      </c>
      <c r="C11" s="3">
        <f>AVERAGEIFS(Veri!$G$2:$G$121,Veri!$A$2:$A$121,Dashboard!$C$2,Veri!$B$2:$B$121,A11,Veri!$C$2:$C$121,"DigerKampanya")</f>
        <v/>
      </c>
      <c r="D11" s="3">
        <f>AVERAGEIFS(Veri!$G$2:$G$121,Veri!$A$2:$A$121,Dashboard!$C$2,Veri!$B$2:$B$121,A11,Veri!$C$2:$C$121,"Kampanyasiz")</f>
        <v/>
      </c>
      <c r="E11" s="2">
        <f>SUMIFS(Veri!$L$2:$L$121,Veri!$A$2:$A$121,Dashboard!$C$2,Veri!$B$2:$B$121,A11,Veri!$C$2:$C$121,"3Al2Ode")</f>
        <v/>
      </c>
      <c r="F11" s="2">
        <f>SUMIFS(Veri!$L$2:$L$121,Veri!$A$2:$A$121,Dashboard!$C$2,Veri!$B$2:$B$121,A11,Veri!$C$2:$C$121,"DigerKampanya")</f>
        <v/>
      </c>
      <c r="G11" s="2">
        <f>SUMIFS(Veri!$L$2:$L$121,Veri!$A$2:$A$121,Dashboard!$C$2,Veri!$B$2:$B$121,A11,Veri!$C$2:$C$121,"Kampanyasiz")</f>
        <v/>
      </c>
      <c r="H11" s="2">
        <f>SUMIFS(Veri!$D$2:$D$121,Veri!$A$2:$A$121,Dashboard!$C$2,Veri!$B$2:$B$121,A11,Veri!$C$2:$C$121,"3Al2Ode")</f>
        <v/>
      </c>
      <c r="I11" s="2">
        <f>SUMIFS(Veri!$D$2:$D$121,Veri!$A$2:$A$121,Dashboard!$C$2,Veri!$B$2:$B$121,A11,Veri!$C$2:$C$121,"DigerKampanya")</f>
        <v/>
      </c>
      <c r="J11" s="2">
        <f>SUMIFS(Veri!$D$2:$D$121,Veri!$A$2:$A$121,Dashboard!$C$2,Veri!$B$2:$B$121,A11,Veri!$C$2:$C$121,"Kampanyasiz")</f>
        <v/>
      </c>
      <c r="K11" s="4">
        <f>AVERAGEIFS(Veri!$H$2:$H$121,Veri!$A$2:$A$121,Dashboard!$C$2,Veri!$B$2:$B$121,A11,Veri!$C$2:$C$121,"3Al2Ode")</f>
        <v/>
      </c>
      <c r="L11" s="4">
        <f>AVERAGEIFS(Veri!$H$2:$H$121,Veri!$A$2:$A$121,Dashboard!$C$2,Veri!$B$2:$B$121,A11,Veri!$C$2:$C$121,"DigerKampanya")</f>
        <v/>
      </c>
      <c r="M11" s="4">
        <f>AVERAGEIFS(Veri!$H$2:$H$121,Veri!$A$2:$A$121,Dashboard!$C$2,Veri!$B$2:$B$121,A11,Veri!$C$2:$C$121,"Kampanyasiz")</f>
        <v/>
      </c>
      <c r="N11" s="4">
        <f>IFERROR(AVERAGEIFS(Veri!$I$2:$I$121,Veri!$A$2:$A$121,Dashboard!$C$2,Veri!$B$2:$B$121,A11,Veri!$C$2:$C$121,"3Al2Ode"),0)</f>
        <v/>
      </c>
      <c r="O11" s="4">
        <f>IFERROR(AVERAGEIFS(Veri!$I$2:$I$121,Veri!$A$2:$A$121,Dashboard!$C$2,Veri!$B$2:$B$121,A11,Veri!$C$2:$C$121,"DigerKampanya"),0)</f>
        <v/>
      </c>
      <c r="P11" s="4">
        <f>IFERROR(AVERAGEIFS(Veri!$I$2:$I$121,Veri!$A$2:$A$121,Dashboard!$C$2,Veri!$B$2:$B$121,A11,Veri!$C$2:$C$121,"Kampanyasiz"),0)</f>
        <v/>
      </c>
      <c r="Q11" s="3">
        <f>AVERAGEIFS(Veri!$E$2:$E$121,Veri!$A$2:$A$121,Dashboard!$C$2,Veri!$B$2:$B$121,A11,Veri!$C$2:$C$121,"3Al2Ode")</f>
        <v/>
      </c>
      <c r="R11" s="3">
        <f>AVERAGEIFS(Veri!$E$2:$E$121,Veri!$A$2:$A$121,Dashboard!$C$2,Veri!$B$2:$B$121,A11,Veri!$C$2:$C$121,"DigerKampanya")</f>
        <v/>
      </c>
      <c r="S11" s="3">
        <f>AVERAGEIFS(Veri!$E$2:$E$121,Veri!$A$2:$A$121,Dashboard!$C$2,Veri!$B$2:$B$121,A11,Veri!$C$2:$C$121,"Kampanyasiz")</f>
        <v/>
      </c>
    </row>
    <row r="12">
      <c r="A12" s="7" t="inlineStr">
        <is>
          <t>TOPLAM/ORT</t>
        </is>
      </c>
      <c r="B12" s="8">
        <f>AVERAGE(B2:B11)</f>
        <v/>
      </c>
      <c r="C12" s="8">
        <f>AVERAGE(C2:C11)</f>
        <v/>
      </c>
      <c r="D12" s="8">
        <f>AVERAGE(D2:D11)</f>
        <v/>
      </c>
      <c r="E12" s="9">
        <f>SUM(E2:E11)</f>
        <v/>
      </c>
      <c r="F12" s="9">
        <f>SUM(F2:F11)</f>
        <v/>
      </c>
      <c r="G12" s="9">
        <f>SUM(G2:G11)</f>
        <v/>
      </c>
      <c r="H12" s="9">
        <f>SUM(H2:H11)</f>
        <v/>
      </c>
      <c r="I12" s="9">
        <f>SUM(I2:I11)</f>
        <v/>
      </c>
      <c r="J12" s="9">
        <f>SUM(J2:J11)</f>
        <v/>
      </c>
      <c r="K12" s="10">
        <f>AVERAGE(K2:K11)</f>
        <v/>
      </c>
      <c r="L12" s="10">
        <f>AVERAGE(L2:L11)</f>
        <v/>
      </c>
      <c r="M12" s="10">
        <f>AVERAGE(M2:M11)</f>
        <v/>
      </c>
      <c r="N12" s="10">
        <f>AVERAGE(N2:N11)</f>
        <v/>
      </c>
      <c r="O12" s="10">
        <f>AVERAGE(O2:O11)</f>
        <v/>
      </c>
      <c r="P12" s="10">
        <f>AVERAGE(P2:P11)</f>
        <v/>
      </c>
      <c r="Q12" s="8">
        <f>AVERAGE(Q2:Q11)</f>
        <v/>
      </c>
      <c r="R12" s="8">
        <f>AVERAGE(R2:R11)</f>
        <v/>
      </c>
      <c r="S12" s="8">
        <f>AVERAGE(S2:S11)</f>
        <v/>
      </c>
    </row>
    <row r="14">
      <c r="A14" s="11" t="inlineStr">
        <is>
          <t>Son Ay Net Ciro</t>
        </is>
      </c>
    </row>
    <row r="15">
      <c r="A15" t="inlineStr">
        <is>
          <t>3Al2Öde</t>
        </is>
      </c>
      <c r="B15" s="2">
        <f>E11</f>
        <v/>
      </c>
    </row>
    <row r="16">
      <c r="A16" t="inlineStr">
        <is>
          <t>Diğer Kampanya</t>
        </is>
      </c>
      <c r="B16" s="2">
        <f>F11</f>
        <v/>
      </c>
    </row>
    <row r="17">
      <c r="A17" t="inlineStr">
        <is>
          <t>Kampanyasız</t>
        </is>
      </c>
      <c r="B17" s="2">
        <f>G11</f>
        <v/>
      </c>
    </row>
  </sheetData>
  <printOptions horizontalCentered="1"/>
  <pageMargins left="0.4" right="0.4" top="1" bottom="1" header="0.5" footer="0.5"/>
  <pageSetup paperSize="9"/>
</worksheet>
</file>

<file path=xl/worksheets/sheet3.xml><?xml version="1.0" encoding="utf-8"?>
<worksheet xmlns="http://schemas.openxmlformats.org/spreadsheetml/2006/main">
  <sheetPr>
    <tabColor rgb="000D2137"/>
    <outlinePr summaryBelow="1" summaryRight="1"/>
    <pageSetUpPr/>
  </sheetPr>
  <dimension ref="A1:R13"/>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ht="8" customHeight="1">
      <c r="A1" s="12" t="n"/>
      <c r="B1" s="12" t="n"/>
      <c r="C1" s="12" t="n"/>
      <c r="D1" s="12" t="n"/>
      <c r="E1" s="12" t="n"/>
      <c r="F1" s="12" t="n"/>
      <c r="G1" s="12" t="n"/>
      <c r="H1" s="12" t="n"/>
      <c r="I1" s="12" t="n"/>
      <c r="J1" s="12" t="n"/>
      <c r="K1" s="12" t="n"/>
      <c r="L1" s="12" t="n"/>
      <c r="M1" s="12" t="n"/>
      <c r="N1" s="12" t="n"/>
      <c r="O1" s="12" t="n"/>
      <c r="P1" s="12" t="n"/>
      <c r="Q1" s="12" t="n"/>
      <c r="R1" s="12" t="n"/>
    </row>
    <row r="2">
      <c r="A2" s="13" t="inlineStr">
        <is>
          <t>MAĞAZA SEÇ:</t>
        </is>
      </c>
      <c r="B2" s="14" t="n"/>
      <c r="C2" s="15" t="inlineStr">
        <is>
          <t>TÜMÜ</t>
        </is>
      </c>
      <c r="D2" s="16" t="n"/>
      <c r="E2" s="16" t="n"/>
      <c r="F2" s="12" t="n"/>
      <c r="G2" s="12" t="n"/>
      <c r="H2" s="12" t="n"/>
      <c r="I2" s="12" t="n"/>
      <c r="J2" s="12" t="n"/>
      <c r="K2" s="12" t="n"/>
      <c r="L2" s="12" t="n"/>
      <c r="M2" s="12" t="n"/>
      <c r="N2" s="12" t="n"/>
      <c r="O2" s="12" t="n"/>
      <c r="P2" s="12" t="n"/>
      <c r="Q2" s="12" t="n"/>
      <c r="R2" s="12" t="n"/>
    </row>
    <row r="3">
      <c r="A3" s="12" t="n"/>
      <c r="B3" s="12" t="n"/>
      <c r="C3" s="12" t="n"/>
      <c r="D3" s="12" t="n"/>
      <c r="E3" s="12" t="n"/>
      <c r="F3" s="12" t="n"/>
      <c r="G3" s="12" t="n"/>
      <c r="H3" s="12" t="n"/>
      <c r="I3" s="12" t="n"/>
      <c r="J3" s="12" t="n"/>
      <c r="K3" s="12" t="n"/>
      <c r="L3" s="12" t="n"/>
      <c r="M3" s="12" t="n"/>
      <c r="N3" s="12" t="n"/>
      <c r="O3" s="12" t="n"/>
      <c r="P3" s="12" t="n"/>
      <c r="Q3" s="12" t="n"/>
      <c r="R3" s="12" t="n"/>
    </row>
    <row r="4">
      <c r="A4" s="17" t="inlineStr">
        <is>
          <t>TOPLAM FİŞ SAYISI</t>
        </is>
      </c>
      <c r="B4" s="12" t="n"/>
      <c r="C4" s="12" t="n"/>
      <c r="D4" s="17" t="inlineStr">
        <is>
          <t>TOPLAM BRÜT CİRO (₺)</t>
        </is>
      </c>
      <c r="E4" s="12" t="n"/>
      <c r="F4" s="12" t="n"/>
      <c r="G4" s="17" t="inlineStr">
        <is>
          <t>TOPLAM NET CİRO (₺)</t>
        </is>
      </c>
      <c r="H4" s="12" t="n"/>
      <c r="I4" s="12" t="n"/>
      <c r="J4" s="17" t="inlineStr">
        <is>
          <t>GENEL İNDİRİM ORANI</t>
        </is>
      </c>
      <c r="K4" s="12" t="n"/>
      <c r="L4" s="12" t="n"/>
      <c r="M4" s="17" t="inlineStr">
        <is>
          <t>3AL2ÖDE ORT. NET SEPET (₺)</t>
        </is>
      </c>
      <c r="N4" s="12" t="n"/>
      <c r="O4" s="12" t="n"/>
      <c r="P4" s="17" t="inlineStr">
        <is>
          <t>KAMPANYASIZ ORT. NET SEPET (₺)</t>
        </is>
      </c>
      <c r="Q4" s="12" t="n"/>
      <c r="R4" s="12" t="n"/>
    </row>
    <row r="5">
      <c r="A5" s="18">
        <f>SUMPRODUCT((Veri!$A$2:$A$121=Dashboard!$C$2)*(Veri!$D$2:$D$121))</f>
        <v/>
      </c>
      <c r="B5" s="12" t="n"/>
      <c r="C5" s="12" t="n"/>
      <c r="D5" s="18">
        <f>SUMPRODUCT((Veri!$A$2:$A$121=Dashboard!$C$2)*(Veri!$J$2:$J$121))</f>
        <v/>
      </c>
      <c r="E5" s="12" t="n"/>
      <c r="F5" s="12" t="n"/>
      <c r="G5" s="18">
        <f>SUMPRODUCT((Veri!$A$2:$A$121=Dashboard!$C$2)*(Veri!$L$2:$L$121))</f>
        <v/>
      </c>
      <c r="H5" s="12" t="n"/>
      <c r="I5" s="12" t="n"/>
      <c r="J5" s="19">
        <f>TEXT(IFERROR(SUMPRODUCT((Veri!$A$2:$A$121=Dashboard!$C$2)*(Veri!$K$2:$K$121))/SUMPRODUCT((Veri!$A$2:$A$121=Dashboard!$C$2)*(Veri!$J$2:$J$121))*100,0),"0.0")&amp;"%"</f>
        <v/>
      </c>
      <c r="K5" s="12" t="n"/>
      <c r="L5" s="12" t="n"/>
      <c r="M5" s="20">
        <f>AVERAGEIFS(Veri!$G$2:$G$121,Veri!$A$2:$A$121,Dashboard!$C$2,Veri!$C$2:$C$121,"3Al2Ode")</f>
        <v/>
      </c>
      <c r="N5" s="12" t="n"/>
      <c r="O5" s="12" t="n"/>
      <c r="P5" s="20">
        <f>AVERAGEIFS(Veri!$G$2:$G$121,Veri!$A$2:$A$121,Dashboard!$C$2,Veri!$C$2:$C$121,"Kampanyasiz")</f>
        <v/>
      </c>
      <c r="Q5" s="12" t="n"/>
      <c r="R5" s="12" t="n"/>
    </row>
    <row r="6">
      <c r="A6" s="12" t="n"/>
      <c r="B6" s="12" t="n"/>
      <c r="C6" s="12" t="n"/>
      <c r="D6" s="12" t="n"/>
      <c r="E6" s="12" t="n"/>
      <c r="F6" s="12" t="n"/>
      <c r="G6" s="12" t="n"/>
      <c r="H6" s="12" t="n"/>
      <c r="I6" s="12" t="n"/>
      <c r="J6" s="12" t="n"/>
      <c r="K6" s="12" t="n"/>
      <c r="L6" s="12" t="n"/>
      <c r="M6" s="12" t="n"/>
      <c r="N6" s="12" t="n"/>
      <c r="O6" s="12" t="n"/>
      <c r="P6" s="12" t="n"/>
      <c r="Q6" s="12" t="n"/>
      <c r="R6" s="12" t="n"/>
    </row>
    <row r="7">
      <c r="A7" s="12" t="n"/>
      <c r="B7" s="12" t="n"/>
      <c r="C7" s="12" t="n"/>
      <c r="D7" s="12" t="n"/>
      <c r="E7" s="12" t="n"/>
      <c r="F7" s="12" t="n"/>
      <c r="G7" s="12" t="n"/>
      <c r="H7" s="12" t="n"/>
      <c r="I7" s="12" t="n"/>
      <c r="J7" s="12" t="n"/>
      <c r="K7" s="12" t="n"/>
      <c r="L7" s="12" t="n"/>
      <c r="M7" s="12" t="n"/>
      <c r="N7" s="12" t="n"/>
      <c r="O7" s="12" t="n"/>
      <c r="P7" s="12" t="n"/>
      <c r="Q7" s="12" t="n"/>
      <c r="R7" s="12" t="n"/>
    </row>
    <row r="8">
      <c r="A8" s="21" t="inlineStr">
        <is>
          <t>SEPET LİFT ORANI</t>
        </is>
      </c>
      <c r="D8" s="21" t="inlineStr">
        <is>
          <t>SEPET FARKI (₺)</t>
        </is>
      </c>
      <c r="G8" s="21" t="inlineStr">
        <is>
          <t>EK ÜRÜN ETKİSİ</t>
        </is>
      </c>
      <c r="J8" s="21" t="inlineStr">
        <is>
          <t>3AL2ÖDE CİRO PAYI</t>
        </is>
      </c>
      <c r="M8" s="21" t="inlineStr">
        <is>
          <t>KAMPANYA EK CİROSU (₺)</t>
        </is>
      </c>
      <c r="P8" s="21" t="inlineStr">
        <is>
          <t>3AL2ÖDE PENETRASYON</t>
        </is>
      </c>
    </row>
    <row r="9">
      <c r="A9" s="22">
        <f>TEXT(IFERROR((AVERAGEIFS(Veri!$G$2:$G$121,Veri!$A$2:$A$121,Dashboard!$C$2,Veri!$C$2:$C$121,"3Al2Ode")-AVERAGEIFS(Veri!$G$2:$G$121,Veri!$A$2:$A$121,Dashboard!$C$2,Veri!$C$2:$C$121,"Kampanyasiz"))/AVERAGEIFS(Veri!$G$2:$G$121,Veri!$A$2:$A$121,Dashboard!$C$2,Veri!$C$2:$C$121,"Kampanyasiz")*100,0),"0")&amp;"%"</f>
        <v/>
      </c>
      <c r="D9" s="23">
        <f>AVERAGEIFS(Veri!$G$2:$G$121,Veri!$A$2:$A$121,Dashboard!$C$2,Veri!$C$2:$C$121,"3Al2Ode")-AVERAGEIFS(Veri!$G$2:$G$121,Veri!$A$2:$A$121,Dashboard!$C$2,Veri!$C$2:$C$121,"Kampanyasiz")</f>
        <v/>
      </c>
      <c r="G9" s="22">
        <f>TEXT(AVERAGEIFS(Veri!$H$2:$H$121,Veri!$A$2:$A$121,Dashboard!$C$2,Veri!$C$2:$C$121,"3Al2Ode")-AVERAGEIFS(Veri!$H$2:$H$121,Veri!$A$2:$A$121,Dashboard!$C$2,Veri!$C$2:$C$121,"Kampanyasiz"),"0.0")&amp;" adet"</f>
        <v/>
      </c>
      <c r="J9" s="22">
        <f>TEXT(IFERROR(SUMPRODUCT((Veri!$A$2:$A$121=Dashboard!$C$2)*(Veri!$C$2:$C$121="3Al2Ode")*(Veri!$L$2:$L$121))/SUMPRODUCT((Veri!$A$2:$A$121=Dashboard!$C$2)*(Veri!$L$2:$L$121))*100,0),"0.0")&amp;"%"</f>
        <v/>
      </c>
      <c r="M9" s="24">
        <f>SUMPRODUCT((Veri!$A$2:$A$121=Dashboard!$C$2)*(Veri!$C$2:$C$121="3Al2Ode")*(Veri!$D$2:$D$121))*(AVERAGEIFS(Veri!$G$2:$G$121,Veri!$A$2:$A$121,Dashboard!$C$2,Veri!$C$2:$C$121,"3Al2Ode")-AVERAGEIFS(Veri!$G$2:$G$121,Veri!$A$2:$A$121,Dashboard!$C$2,Veri!$C$2:$C$121,"Kampanyasiz"))</f>
        <v/>
      </c>
      <c r="P9" s="22">
        <f>TEXT(IFERROR(SUMPRODUCT((Veri!$A$2:$A$121=Dashboard!$C$2)*(Veri!$C$2:$C$121="3Al2Ode")*(Veri!$D$2:$D$121))/SUMPRODUCT((Veri!$A$2:$A$121=Dashboard!$C$2)*(Veri!$D$2:$D$121))*100,0),"0.0")&amp;"%"</f>
        <v/>
      </c>
    </row>
    <row r="10"/>
    <row r="11">
      <c r="A11" s="25" t="inlineStr">
        <is>
          <t>3Al2Öde sepeti kampanyasıza göre büyütüyor</t>
        </is>
      </c>
      <c r="D11" s="25" t="inlineStr">
        <is>
          <t>3Al2Öde — Kampanyasız ort. net sepet farkı</t>
        </is>
      </c>
      <c r="G11" s="25" t="inlineStr">
        <is>
          <t>3Al2Öde ile sepete eklenen ekstra ürün</t>
        </is>
      </c>
      <c r="J11" s="25" t="inlineStr">
        <is>
          <t>Toplam net ciro içindeki 3Al2Öde payı</t>
        </is>
      </c>
      <c r="M11" s="25" t="inlineStr">
        <is>
          <t>3Al2Öde'nin yarattığı tahmini ek gelir</t>
        </is>
      </c>
      <c r="P11" s="25" t="inlineStr">
        <is>
          <t>Toplam fişlerin ne kadarı 3Al2Öde</t>
        </is>
      </c>
    </row>
    <row r="12">
      <c r="A12" s="12" t="n"/>
      <c r="B12" s="12" t="n"/>
      <c r="C12" s="12" t="n"/>
      <c r="D12" s="12" t="n"/>
      <c r="E12" s="12" t="n"/>
      <c r="F12" s="12" t="n"/>
      <c r="G12" s="12" t="n"/>
      <c r="H12" s="12" t="n"/>
      <c r="I12" s="12" t="n"/>
      <c r="J12" s="12" t="n"/>
      <c r="K12" s="12" t="n"/>
      <c r="L12" s="12" t="n"/>
      <c r="M12" s="12" t="n"/>
      <c r="N12" s="12" t="n"/>
      <c r="O12" s="12" t="n"/>
      <c r="P12" s="12" t="n"/>
      <c r="Q12" s="12" t="n"/>
      <c r="R12" s="12" t="n"/>
    </row>
    <row r="13">
      <c r="A13" s="12" t="n"/>
      <c r="B13" s="12" t="n"/>
      <c r="C13" s="12" t="n"/>
      <c r="D13" s="12" t="n"/>
      <c r="E13" s="12" t="n"/>
      <c r="F13" s="12" t="n"/>
      <c r="G13" s="12" t="n"/>
      <c r="H13" s="12" t="n"/>
      <c r="I13" s="12" t="n"/>
      <c r="J13" s="12" t="n"/>
      <c r="K13" s="12" t="n"/>
      <c r="L13" s="12" t="n"/>
      <c r="M13" s="12" t="n"/>
      <c r="N13" s="12" t="n"/>
      <c r="O13" s="12" t="n"/>
      <c r="P13" s="12" t="n"/>
      <c r="Q13" s="12" t="n"/>
      <c r="R13" s="12" t="n"/>
    </row>
  </sheetData>
  <mergeCells count="32">
    <mergeCell ref="M11:O11"/>
    <mergeCell ref="D11:F11"/>
    <mergeCell ref="P11:R11"/>
    <mergeCell ref="P8:R8"/>
    <mergeCell ref="D5:F6"/>
    <mergeCell ref="P5:R6"/>
    <mergeCell ref="G9:I10"/>
    <mergeCell ref="J5:L6"/>
    <mergeCell ref="A9:C10"/>
    <mergeCell ref="J4:L4"/>
    <mergeCell ref="M9:O10"/>
    <mergeCell ref="J11:L11"/>
    <mergeCell ref="C2:E2"/>
    <mergeCell ref="A8:C8"/>
    <mergeCell ref="D4:F4"/>
    <mergeCell ref="M5:O6"/>
    <mergeCell ref="G4:I4"/>
    <mergeCell ref="J9:L10"/>
    <mergeCell ref="M8:O8"/>
    <mergeCell ref="P9:R10"/>
    <mergeCell ref="D8:F8"/>
    <mergeCell ref="A4:C4"/>
    <mergeCell ref="A2:B2"/>
    <mergeCell ref="M4:O4"/>
    <mergeCell ref="J8:L8"/>
    <mergeCell ref="P4:R4"/>
    <mergeCell ref="G11:I11"/>
    <mergeCell ref="A11:C11"/>
    <mergeCell ref="A5:C6"/>
    <mergeCell ref="G5:I6"/>
    <mergeCell ref="G8:I8"/>
    <mergeCell ref="D9:F10"/>
  </mergeCells>
  <dataValidations count="1">
    <dataValidation sqref="C2" showDropDown="0" showInputMessage="0" showErrorMessage="0" allowBlank="0" errorTitle="Geçersiz seçim" error="Listeden seçim yapın" promptTitle="Mağaza Filtresi" prompt="Mağaza seçin" type="list">
      <formula1>"TÜMÜ,FSM Mağaza,IST YOLU MGZ,ÖZLÜCE"</formula1>
    </dataValidation>
  </dataValidations>
  <printOptions horizontalCentered="1"/>
  <pageMargins left="0.4" right="0.4" top="1" bottom="1" header="0.5" footer="0.5"/>
  <pageSetup paperSize="9"/>
  <drawing xmlns:r="http://schemas.openxmlformats.org/officeDocument/2006/relationships" r:id="rId1"/>
</worksheet>
</file>

<file path=xl/worksheets/sheet4.xml><?xml version="1.0" encoding="utf-8"?>
<worksheet xmlns="http://schemas.openxmlformats.org/spreadsheetml/2006/main">
  <sheetPr>
    <tabColor rgb="009E9E9E"/>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s="26" t="inlineStr">
        <is>
          <t>Power Query SQL Bağlantısı İçin Sorgu</t>
        </is>
      </c>
    </row>
    <row r="2">
      <c r="A2" s="27" t="inlineStr">
        <is>
          <t>Sunucu: 192.168.40.201  |  Veritabanı: EncoreMerkez</t>
        </is>
      </c>
    </row>
    <row r="3">
      <c r="A3" s="28" t="inlineStr">
        <is>
          <t>Bu sorguyu Power Query &gt; Gelişmiş Seçenekler'e yapıştırın.</t>
        </is>
      </c>
    </row>
    <row r="5" ht="500" customHeight="1">
      <c r="A5" s="29" t="inlineStr">
        <is>
          <t>;WITH cte_3al2ode AS (
    SELECT DISTINCT SalesId FROM dbo.SalesProductCampaigns WHERE CampaignId IN (1, 12)
),
cte_any_campaign AS (
    SELECT DISTINCT SalesId FROM dbo.SalesProductCampaigns
)
SELECT
    st.Name AS Magaza,
    CONVERT(varchar(7), s.Date, 126) AS Ay,
    CASE
        WHEN c3.SalesId IS NOT NULL THEN '3Al2Ode'
        WHEN ca.SalesId IS NOT NULL THEN 'DigerKampanya'
        ELSE 'Kampanyasiz'
    END AS Grup,
    COUNT(*) AS FisSayisi,
    CAST(AVG(s.GrossTotal) AS decimal(18,2)) AS OrtBrutSepet,
    CAST(AVG(ABS(s.DiscountTotal)) AS decimal(18,2)) AS OrtIndirimTutar,
    CAST(AVG(s.GrossTotal - ABS(s.DiscountTotal)) AS decimal(18,2)) AS OrtNetSepet,
    CAST(AVG(CAST(s.LineCount AS decimal)) AS decimal(18,1)) AS OrtUrunAdet,
    CASE WHEN SUM(s.GrossTotal) &gt; 0
         THEN CAST(SUM(ABS(s.DiscountTotal)) * 100.0 / SUM(s.GrossTotal) AS decimal(5,1))
         ELSE 0 END AS IndirimOrani,
    CAST(SUM(s.GrossTotal) AS decimal(18,2)) AS ToplamBrutCiro,
    CAST(SUM(ABS(s.DiscountTotal)) AS decimal(18,2)) AS ToplamIndirim,
    CAST(SUM(s.GrossTotal - ABS(s.DiscountTotal)) AS decimal(18,2)) AS ToplamNetCiro
FROM dbo.Sales s
JOIN dbo.Stores st ON s.StoresId = st.Id
LEFT JOIN cte_3al2ode c3 ON s.Id = c3.SalesId
LEFT JOIN cte_any_campaign ca ON s.Id = ca.SalesId
WHERE s.DocumentsTypeId IN (1,2)
GROUP BY st.Name, CONVERT(varchar(7), s.Date, 126),
    CASE WHEN c3.SalesId IS NOT NULL THEN '3Al2Ode'
         WHEN ca.SalesId IS NOT NULL THEN 'DigerKampanya'
         ELSE 'Kampanyasiz' END
ORDER BY Magaza, Ay, Grup
-- NOT: Power Query icin 'TÜMÜ' satirlarini da eklemek isterseniz
-- UNION ALL ile magaza bazli sorgunun ustune genel toplami ekleyin:
-- SELECT 'TÜMÜ' AS Magaza, ... (ayni sorgu JOIN Stores olmadan)</t>
        </is>
      </c>
    </row>
  </sheetData>
  <printOptions horizontalCentered="1"/>
  <pageMargins left="0.4" right="0.4" top="1" bottom="1" header="0.5" footer="0.5"/>
  <pageSetup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2026-04-13T21:38:32Z</dcterms:created>
  <dcterms:modified xmlns:dcterms="http://purl.org/dc/terms/" xmlns:xsi="http://www.w3.org/2001/XMLSchema-instance" xsi:type="dcterms:W3CDTF">2026-04-13T21:38:32Z</dcterms:modified>
</cp:coreProperties>
</file>