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v\sqlserver-mcp-server\"/>
    </mc:Choice>
  </mc:AlternateContent>
  <xr:revisionPtr revIDLastSave="0" documentId="13_ncr:1_{7C4F75E1-4E9A-4CED-B3D4-0256A12645F8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Sayf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D14" i="2"/>
  <c r="C14" i="2"/>
  <c r="B14" i="2"/>
  <c r="E13" i="2"/>
  <c r="E12" i="2"/>
  <c r="E11" i="2"/>
  <c r="E10" i="2"/>
  <c r="E9" i="2"/>
  <c r="E8" i="2"/>
  <c r="E7" i="2"/>
  <c r="E6" i="2"/>
  <c r="E5" i="2"/>
  <c r="E4" i="2"/>
  <c r="E3" i="2"/>
  <c r="E2" i="2"/>
  <c r="E14" i="2" l="1"/>
</calcChain>
</file>

<file path=xl/sharedStrings.xml><?xml version="1.0" encoding="utf-8"?>
<sst xmlns="http://schemas.openxmlformats.org/spreadsheetml/2006/main" count="60" uniqueCount="49">
  <si>
    <t>Ay</t>
  </si>
  <si>
    <t>ÖZLÜCE 2025</t>
  </si>
  <si>
    <t>FSM 2025</t>
  </si>
  <si>
    <t>İST YOLU 2025</t>
  </si>
  <si>
    <t>Toplam 2025</t>
  </si>
  <si>
    <t>Toplam 2024</t>
  </si>
  <si>
    <t>Ocak</t>
  </si>
  <si>
    <t>Orta-yüksek</t>
  </si>
  <si>
    <t>Şubat</t>
  </si>
  <si>
    <t>Orta</t>
  </si>
  <si>
    <t>Mart</t>
  </si>
  <si>
    <t>Düşük-orta</t>
  </si>
  <si>
    <t>Nisan</t>
  </si>
  <si>
    <t>Mayıs</t>
  </si>
  <si>
    <t>DİP</t>
  </si>
  <si>
    <t>Haziran</t>
  </si>
  <si>
    <t>Temmuz</t>
  </si>
  <si>
    <t>Ağustos</t>
  </si>
  <si>
    <t>Eylül</t>
  </si>
  <si>
    <t>ZİRVE</t>
  </si>
  <si>
    <t>Ekim</t>
  </si>
  <si>
    <t>Yüksek</t>
  </si>
  <si>
    <t>Kasım</t>
  </si>
  <si>
    <t>Aralık</t>
  </si>
  <si>
    <t>YIL TOPLAM</t>
  </si>
  <si>
    <t>Müdür</t>
  </si>
  <si>
    <t>Mağaza</t>
  </si>
  <si>
    <t>Başlangıç</t>
  </si>
  <si>
    <t>Bitiş</t>
  </si>
  <si>
    <t>Resul Çil</t>
  </si>
  <si>
    <t>FSM</t>
  </si>
  <si>
    <t>17.06.2026</t>
  </si>
  <si>
    <t>21.06.2026</t>
  </si>
  <si>
    <t>01.07.2026</t>
  </si>
  <si>
    <t>07.07.2026</t>
  </si>
  <si>
    <t>01.08.2026</t>
  </si>
  <si>
    <t>09.08.2026</t>
  </si>
  <si>
    <t>Abdurrahman Uğurlu</t>
  </si>
  <si>
    <t>Özlüce</t>
  </si>
  <si>
    <t>08.06.2026</t>
  </si>
  <si>
    <t>14.06.2026</t>
  </si>
  <si>
    <t>20.07.2026</t>
  </si>
  <si>
    <t>31.07.2026</t>
  </si>
  <si>
    <t>Erkal Güdenli</t>
  </si>
  <si>
    <t>İst.Yolu</t>
  </si>
  <si>
    <t>08.07.2026</t>
  </si>
  <si>
    <t>19.07.2026</t>
  </si>
  <si>
    <t>Sezon</t>
  </si>
  <si>
    <t>Başlıyor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</si>
</sst>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0" xfId="0" applyFont="1" applyFill="1"/>
    <xf numFmtId="3" fontId="3" fillId="2" borderId="0" xfId="0" applyNumberFormat="1" applyFont="1" applyFill="1" applyAlignment="1">
      <alignment horizontal="right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Aylık Toplam Ciro 2025 (₺) — Eylül zirvesi</a:t>
            </a:r>
          </a:p>
        </c:rich>
      </c:tx>
      <c:layout>
        <c:manualLayout>
          <c:xMode val="edge"/>
          <c:yMode val="edge"/>
          <c:x val="5.3235396991955231E-2"/>
          <c:y val="4.134860050890585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598235162892152"/>
          <c:y val="0.186846586924726"/>
          <c:w val="0.82597305555555556"/>
          <c:h val="0.61047048611111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Sayfa1!$E$1</c:f>
              <c:strCache>
                <c:ptCount val="1"/>
                <c:pt idx="0">
                  <c:v>Toplam 2025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Sayfa1!$A$2:$A$13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Sayfa1!$E$2:$E$13</c:f>
              <c:numCache>
                <c:formatCode>#,##0</c:formatCode>
                <c:ptCount val="12"/>
                <c:pt idx="0">
                  <c:v>44165714.780000001</c:v>
                </c:pt>
                <c:pt idx="1">
                  <c:v>40256972.140000001</c:v>
                </c:pt>
                <c:pt idx="2">
                  <c:v>34824568.339999996</c:v>
                </c:pt>
                <c:pt idx="3">
                  <c:v>39272580.520000003</c:v>
                </c:pt>
                <c:pt idx="4">
                  <c:v>31468629.02</c:v>
                </c:pt>
                <c:pt idx="5">
                  <c:v>32757802.540000003</c:v>
                </c:pt>
                <c:pt idx="6">
                  <c:v>31977067.850000001</c:v>
                </c:pt>
                <c:pt idx="7">
                  <c:v>188740266.19999999</c:v>
                </c:pt>
                <c:pt idx="8">
                  <c:v>314119866.98000002</c:v>
                </c:pt>
                <c:pt idx="9">
                  <c:v>72946139.439999998</c:v>
                </c:pt>
                <c:pt idx="10">
                  <c:v>57162564.5</c:v>
                </c:pt>
                <c:pt idx="11">
                  <c:v>64121629.549999997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B-4E4A-82AE-F73FB91F8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Net ciro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91440</xdr:colOff>
      <xdr:row>0</xdr:row>
      <xdr:rowOff>0</xdr:rowOff>
    </xdr:from>
    <xdr:ext cx="7818120" cy="45262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tabSelected="1" workbookViewId="0">
      <selection activeCell="G28" sqref="G28"/>
    </sheetView>
  </sheetViews>
  <sheetFormatPr defaultRowHeight="14.4" x14ac:dyDescent="0.3"/>
  <cols>
    <col min="1" max="1" width="18" bestFit="1" customWidth="1"/>
    <col min="2" max="6" width="11.109375" bestFit="1" customWidth="1"/>
    <col min="7" max="7" width="10.77734375" bestFit="1" customWidth="1"/>
  </cols>
  <sheetData>
    <row r="1" spans="1:7" ht="28.8" x14ac:dyDescent="0.3">
      <c r="A1" s="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47</v>
      </c>
    </row>
    <row r="2" spans="1:7" x14ac:dyDescent="0.3">
      <c r="A2" s="2" t="s">
        <v>6</v>
      </c>
      <c r="B2" s="5">
        <v>19895220.75</v>
      </c>
      <c r="C2" s="5">
        <v>12937733.869999999</v>
      </c>
      <c r="D2" s="5">
        <v>11332760.16</v>
      </c>
      <c r="E2" s="5">
        <f t="shared" ref="E2:E13" si="0">SUM(B2:D2)</f>
        <v>44165714.780000001</v>
      </c>
      <c r="F2" s="5">
        <v>25823220.5</v>
      </c>
      <c r="G2" s="4" t="s">
        <v>7</v>
      </c>
    </row>
    <row r="3" spans="1:7" x14ac:dyDescent="0.3">
      <c r="A3" s="2" t="s">
        <v>8</v>
      </c>
      <c r="B3" s="5">
        <v>17501605.109999999</v>
      </c>
      <c r="C3" s="5">
        <v>11988576.859999999</v>
      </c>
      <c r="D3" s="5">
        <v>10766790.17</v>
      </c>
      <c r="E3" s="5">
        <f t="shared" si="0"/>
        <v>40256972.140000001</v>
      </c>
      <c r="F3" s="5">
        <v>26187975.43</v>
      </c>
      <c r="G3" s="4" t="s">
        <v>9</v>
      </c>
    </row>
    <row r="4" spans="1:7" x14ac:dyDescent="0.3">
      <c r="A4" s="2" t="s">
        <v>10</v>
      </c>
      <c r="B4" s="5">
        <v>16730022.49</v>
      </c>
      <c r="C4" s="5">
        <v>10465433.199999999</v>
      </c>
      <c r="D4" s="5">
        <v>7629112.6500000004</v>
      </c>
      <c r="E4" s="5">
        <f t="shared" si="0"/>
        <v>34824568.339999996</v>
      </c>
      <c r="F4" s="5">
        <v>23232364.41</v>
      </c>
      <c r="G4" s="4" t="s">
        <v>11</v>
      </c>
    </row>
    <row r="5" spans="1:7" x14ac:dyDescent="0.3">
      <c r="A5" s="2" t="s">
        <v>12</v>
      </c>
      <c r="B5" s="5">
        <v>17598614.600000001</v>
      </c>
      <c r="C5" s="5">
        <v>11561566.310000001</v>
      </c>
      <c r="D5" s="5">
        <v>10112399.609999999</v>
      </c>
      <c r="E5" s="5">
        <f t="shared" si="0"/>
        <v>39272580.520000003</v>
      </c>
      <c r="F5" s="5">
        <v>20994563.079999998</v>
      </c>
      <c r="G5" s="4" t="s">
        <v>9</v>
      </c>
    </row>
    <row r="6" spans="1:7" x14ac:dyDescent="0.3">
      <c r="A6" s="2" t="s">
        <v>13</v>
      </c>
      <c r="B6" s="5">
        <v>15177934.130000001</v>
      </c>
      <c r="C6" s="5">
        <v>9345720.1699999999</v>
      </c>
      <c r="D6" s="5">
        <v>6944974.7199999997</v>
      </c>
      <c r="E6" s="5">
        <f t="shared" si="0"/>
        <v>31468629.02</v>
      </c>
      <c r="F6" s="5">
        <v>19974294.510000002</v>
      </c>
      <c r="G6" s="6" t="s">
        <v>14</v>
      </c>
    </row>
    <row r="7" spans="1:7" x14ac:dyDescent="0.3">
      <c r="A7" s="2" t="s">
        <v>15</v>
      </c>
      <c r="B7" s="5">
        <v>15975843.630000001</v>
      </c>
      <c r="C7" s="5">
        <v>9242011.4700000007</v>
      </c>
      <c r="D7" s="5">
        <v>7539947.4400000004</v>
      </c>
      <c r="E7" s="5">
        <f t="shared" si="0"/>
        <v>32757802.540000003</v>
      </c>
      <c r="F7" s="5">
        <v>18482610.32</v>
      </c>
      <c r="G7" s="6" t="s">
        <v>14</v>
      </c>
    </row>
    <row r="8" spans="1:7" x14ac:dyDescent="0.3">
      <c r="A8" s="2" t="s">
        <v>16</v>
      </c>
      <c r="B8" s="5">
        <v>14399107.07</v>
      </c>
      <c r="C8" s="5">
        <v>9334933.8399999999</v>
      </c>
      <c r="D8" s="5">
        <v>8243026.9400000004</v>
      </c>
      <c r="E8" s="5">
        <f t="shared" si="0"/>
        <v>31977067.850000001</v>
      </c>
      <c r="F8" s="5">
        <v>19300651.550000001</v>
      </c>
      <c r="G8" s="6" t="s">
        <v>14</v>
      </c>
    </row>
    <row r="9" spans="1:7" x14ac:dyDescent="0.3">
      <c r="A9" s="2" t="s">
        <v>17</v>
      </c>
      <c r="B9" s="5">
        <v>21716210.280000001</v>
      </c>
      <c r="C9" s="5">
        <v>12827512.83</v>
      </c>
      <c r="D9" s="5">
        <v>154196543.09</v>
      </c>
      <c r="E9" s="5">
        <f t="shared" si="0"/>
        <v>188740266.19999999</v>
      </c>
      <c r="F9" s="5">
        <v>131053859.54000001</v>
      </c>
      <c r="G9" s="7" t="s">
        <v>48</v>
      </c>
    </row>
    <row r="10" spans="1:7" x14ac:dyDescent="0.3">
      <c r="A10" s="2" t="s">
        <v>18</v>
      </c>
      <c r="B10" s="5">
        <v>45953361.350000001</v>
      </c>
      <c r="C10" s="5">
        <v>35310356.310000002</v>
      </c>
      <c r="D10" s="5">
        <v>232856149.31999999</v>
      </c>
      <c r="E10" s="5">
        <f t="shared" si="0"/>
        <v>314119866.98000002</v>
      </c>
      <c r="F10" s="5">
        <v>209181990.91999999</v>
      </c>
      <c r="G10" s="8" t="s">
        <v>19</v>
      </c>
    </row>
    <row r="11" spans="1:7" x14ac:dyDescent="0.3">
      <c r="A11" s="2" t="s">
        <v>20</v>
      </c>
      <c r="B11" s="5">
        <v>29606792.109999999</v>
      </c>
      <c r="C11" s="5">
        <v>22178301.289999999</v>
      </c>
      <c r="D11" s="5">
        <v>21161046.039999999</v>
      </c>
      <c r="E11" s="5">
        <f t="shared" si="0"/>
        <v>72946139.439999998</v>
      </c>
      <c r="F11" s="5">
        <v>50369375.079999998</v>
      </c>
      <c r="G11" s="4" t="s">
        <v>21</v>
      </c>
    </row>
    <row r="12" spans="1:7" x14ac:dyDescent="0.3">
      <c r="A12" s="2" t="s">
        <v>22</v>
      </c>
      <c r="B12" s="5">
        <v>24836202.829999998</v>
      </c>
      <c r="C12" s="5">
        <v>17125959.920000002</v>
      </c>
      <c r="D12" s="5">
        <v>15200401.75</v>
      </c>
      <c r="E12" s="5">
        <f t="shared" si="0"/>
        <v>57162564.5</v>
      </c>
      <c r="F12" s="5">
        <v>35941145</v>
      </c>
      <c r="G12" s="4" t="s">
        <v>21</v>
      </c>
    </row>
    <row r="13" spans="1:7" x14ac:dyDescent="0.3">
      <c r="A13" s="2" t="s">
        <v>23</v>
      </c>
      <c r="B13" s="5">
        <v>29467286.449999999</v>
      </c>
      <c r="C13" s="5">
        <v>18961278.77</v>
      </c>
      <c r="D13" s="5">
        <v>15693064.33</v>
      </c>
      <c r="E13" s="5">
        <f t="shared" si="0"/>
        <v>64121629.549999997</v>
      </c>
      <c r="F13" s="5">
        <v>43135459.899999999</v>
      </c>
      <c r="G13" s="4" t="s">
        <v>21</v>
      </c>
    </row>
    <row r="14" spans="1:7" x14ac:dyDescent="0.3">
      <c r="A14" s="9" t="s">
        <v>24</v>
      </c>
      <c r="B14" s="10">
        <f>SUM(B2:B13)</f>
        <v>268858200.79999995</v>
      </c>
      <c r="C14" s="10">
        <f>SUM(C2:C13)</f>
        <v>181279384.84</v>
      </c>
      <c r="D14" s="10">
        <f>SUM(D2:D13)</f>
        <v>501676216.22000003</v>
      </c>
      <c r="E14" s="10">
        <f>SUM(E2:E13)</f>
        <v>951813801.8599999</v>
      </c>
      <c r="F14" s="10">
        <f>SUM(F2:F13)</f>
        <v>623677510.24000001</v>
      </c>
      <c r="G14" s="11"/>
    </row>
    <row r="18" spans="1:4" x14ac:dyDescent="0.3">
      <c r="A18" s="1" t="s">
        <v>25</v>
      </c>
      <c r="B18" s="1" t="s">
        <v>26</v>
      </c>
      <c r="C18" s="1" t="s">
        <v>27</v>
      </c>
      <c r="D18" s="1" t="s">
        <v>28</v>
      </c>
    </row>
    <row r="19" spans="1:4" x14ac:dyDescent="0.3">
      <c r="A19" s="3" t="s">
        <v>29</v>
      </c>
      <c r="B19" s="3" t="s">
        <v>30</v>
      </c>
      <c r="C19" s="3" t="s">
        <v>31</v>
      </c>
      <c r="D19" s="3" t="s">
        <v>32</v>
      </c>
    </row>
    <row r="20" spans="1:4" x14ac:dyDescent="0.3">
      <c r="A20" s="3" t="s">
        <v>29</v>
      </c>
      <c r="B20" s="3" t="s">
        <v>30</v>
      </c>
      <c r="C20" s="3" t="s">
        <v>33</v>
      </c>
      <c r="D20" s="3" t="s">
        <v>34</v>
      </c>
    </row>
    <row r="21" spans="1:4" x14ac:dyDescent="0.3">
      <c r="A21" s="3" t="s">
        <v>29</v>
      </c>
      <c r="B21" s="3" t="s">
        <v>30</v>
      </c>
      <c r="C21" s="3" t="s">
        <v>35</v>
      </c>
      <c r="D21" s="3" t="s">
        <v>36</v>
      </c>
    </row>
    <row r="22" spans="1:4" x14ac:dyDescent="0.3">
      <c r="A22" s="3" t="s">
        <v>37</v>
      </c>
      <c r="B22" s="3" t="s">
        <v>38</v>
      </c>
      <c r="C22" s="3" t="s">
        <v>39</v>
      </c>
      <c r="D22" s="3" t="s">
        <v>40</v>
      </c>
    </row>
    <row r="23" spans="1:4" x14ac:dyDescent="0.3">
      <c r="A23" s="3" t="s">
        <v>37</v>
      </c>
      <c r="B23" s="3" t="s">
        <v>38</v>
      </c>
      <c r="C23" s="3" t="s">
        <v>41</v>
      </c>
      <c r="D23" s="3" t="s">
        <v>42</v>
      </c>
    </row>
    <row r="24" spans="1:4" x14ac:dyDescent="0.3">
      <c r="A24" s="3" t="s">
        <v>43</v>
      </c>
      <c r="B24" s="3" t="s">
        <v>44</v>
      </c>
      <c r="C24" s="3" t="s">
        <v>45</v>
      </c>
      <c r="D24" s="3" t="s">
        <v>46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Fikri EREN</cp:lastModifiedBy>
  <dcterms:created xsi:type="dcterms:W3CDTF">2026-06-04T22:05:42Z</dcterms:created>
  <dcterms:modified xsi:type="dcterms:W3CDTF">2026-06-05T06:21:39Z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2026-06-04T22:10:55Z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ce838670-1954-4442-b940-eac0d507ddc2</vt:lpwstr>
  </property>
  <property fmtid="{D5CDD505-2E9C-101B-9397-08002B2CF9AE}" pid="7" name="MSIP_Label_defa4170-0d19-0005-0004-bc88714345d2_ActionId">
    <vt:lpwstr>946c5853-cc53-48b0-948b-1dbfa9bc9988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